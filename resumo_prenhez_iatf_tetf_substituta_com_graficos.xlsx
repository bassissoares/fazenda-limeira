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b14bfb3f441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2c560e9773134a68"/>
    <x:sheet xmlns:r="http://schemas.openxmlformats.org/officeDocument/2006/relationships" name="Glossario" sheetId="2" r:id="Rb5addc6b2d1c4f7f"/>
    <x:sheet xmlns:r="http://schemas.openxmlformats.org/officeDocument/2006/relationships" name="Graficos" sheetId="3" r:id="R042e90d916dd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17">
    <x:font>
      <x:sz val="11"/>
      <x:name val="Carlito"/>
    </x:font>
    <x:font>
      <x:b/>
      <x:sz val="11"/>
      <x:color rgb="FF4A3A24"/>
      <x:name val="Carlito"/>
    </x:font>
    <x:font>
      <x:b/>
      <x:sz val="16"/>
      <x:color rgb="FF4A3A24"/>
      <x:name val="Carlito"/>
    </x:font>
    <x:font>
      <x:b/>
      <x:i/>
      <x:sz val="11"/>
      <x:color rgb="FF6B5A43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i/>
      <x:sz val="11"/>
      <x:color rgb="FF7C5A10"/>
      <x:name val="Carlito"/>
    </x:font>
    <x:font>
      <x:b/>
      <x:sz val="10"/>
      <x:color rgb="FF4A3A24"/>
      <x:name val="Aptos"/>
    </x:font>
    <x:font>
      <x:sz val="10"/>
      <x:name val="Aptos"/>
    </x:font>
    <x:font>
      <x:b/>
      <x:i/>
      <x:sz val="10"/>
      <x:color rgb="FF6B5A43"/>
      <x:name val="Aptos"/>
    </x:font>
    <x:font>
      <x:b/>
      <x:sz val="10"/>
      <x:color rgb="FFFFFFFF"/>
      <x:name val="Aptos"/>
    </x:font>
    <x:font>
      <x:b/>
      <x:sz val="10"/>
      <x:color rgb="FF1F2937"/>
      <x:name val="Aptos"/>
    </x:font>
    <x:font>
      <x:i/>
      <x:sz val="10"/>
      <x:color rgb="FF7C5A10"/>
      <x:name val="Aptos"/>
    </x:font>
    <x:font>
      <x:b/>
      <x:sz val="16"/>
      <x:color rgb="FF4A3A24"/>
      <x:name val="Aptos Display"/>
    </x:font>
    <x:font>
      <x:b/>
      <x:sz val="15"/>
      <x:color rgb="FF4A3A24"/>
      <x:name val="Aptos Display"/>
    </x:font>
    <x:font>
      <x:b/>
      <x:sz val="11"/>
      <x:color rgb="FF334155"/>
      <x:name val="Carlito"/>
    </x:font>
    <x:font>
      <x:b/>
      <x:sz val="10"/>
      <x:color rgb="FF334155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F4EFE6"/>
      </x:patternFill>
    </x:fill>
    <x:fill>
      <x:patternFill patternType="solid">
        <x:fgColor rgb="FF7A8F4B"/>
      </x:patternFill>
    </x:fill>
    <x:fill>
      <x:patternFill patternType="solid">
        <x:fgColor rgb="FF8A5A44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</x:fills>
  <x:borders count="10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AB308"/>
      </x:left>
      <x:top style="thin">
        <x:color rgb="FFEAB308"/>
      </x:top>
    </x:border>
    <x:border>
      <x:top style="thin">
        <x:color rgb="FFEAB308"/>
      </x:top>
    </x:border>
    <x:border>
      <x:right style="thin">
        <x:color rgb="FFEAB308"/>
      </x:right>
      <x:top style="thin">
        <x:color rgb="FFEAB308"/>
      </x:top>
    </x:border>
    <x:border>
      <x:left style="thin">
        <x:color rgb="FFEAB308"/>
      </x:left>
    </x:border>
    <x:border>
      <x:right style="thin">
        <x:color rgb="FFEAB308"/>
      </x:right>
    </x:border>
    <x:border>
      <x:left style="thin">
        <x:color rgb="FFEAB308"/>
      </x:left>
      <x:bottom style="thin">
        <x:color rgb="FFEAB308"/>
      </x:bottom>
    </x:border>
    <x:border>
      <x:bottom style="thin">
        <x:color rgb="FFEAB308"/>
      </x:bottom>
    </x:border>
    <x:border>
      <x:right style="thin">
        <x:color rgb="FFEAB308"/>
      </x:right>
      <x:bottom style="thin">
        <x:color rgb="FFEAB308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201" fontId="8" fillId="0" borderId="1" xfId="0" applyNumberFormat="1" applyFont="1" applyFill="1" applyBorder="1"/>
    <x:xf numFmtId="0" fontId="10" fillId="3" borderId="1" xfId="0" applyNumberFormat="1" applyFont="1" applyFill="1" applyBorder="1" applyAlignment="1">
      <x:alignment horizontal="center"/>
    </x:xf>
    <x:xf numFmtId="0" fontId="10" fillId="4" borderId="1" xfId="0" applyNumberFormat="1" applyFont="1" applyFill="1" applyBorder="1" applyAlignment="1">
      <x:alignment horizontal="center"/>
    </x:xf>
    <x:xf numFmtId="0" fontId="12" fillId="6" borderId="2" xfId="0" applyNumberFormat="1" applyFont="1" applyFill="1" applyBorder="1" applyAlignment="1">
      <x:alignment vertical="center" wrapText="1"/>
    </x:xf>
    <x:xf numFmtId="0" fontId="12" fillId="6" borderId="3" xfId="0" applyNumberFormat="1" applyFont="1" applyFill="1" applyBorder="1" applyAlignment="1">
      <x:alignment vertical="center" wrapText="1"/>
    </x:xf>
    <x:xf numFmtId="0" fontId="12" fillId="6" borderId="4" xfId="0" applyNumberFormat="1" applyFont="1" applyFill="1" applyBorder="1" applyAlignment="1">
      <x:alignment vertical="center" wrapText="1"/>
    </x:xf>
    <x:xf numFmtId="0" fontId="12" fillId="6" borderId="5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6" xfId="0" applyNumberFormat="1" applyFont="1" applyFill="1" applyBorder="1" applyAlignment="1">
      <x:alignment vertical="center" wrapText="1"/>
    </x:xf>
    <x:xf numFmtId="0" fontId="12" fillId="6" borderId="7" xfId="0" applyNumberFormat="1" applyFont="1" applyFill="1" applyBorder="1" applyAlignment="1">
      <x:alignment vertical="center" wrapText="1"/>
    </x:xf>
    <x:xf numFmtId="0" fontId="12" fillId="6" borderId="8" xfId="0" applyNumberFormat="1" applyFont="1" applyFill="1" applyBorder="1" applyAlignment="1">
      <x:alignment vertical="center" wrapText="1"/>
    </x:xf>
    <x:xf numFmtId="0" fontId="12" fillId="6" borderId="9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4" borderId="0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vertical="center"/>
    </x:xf>
    <x:xf numFmtId="201" fontId="8" fillId="0" borderId="1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10" fillId="4" borderId="1" xfId="0" applyNumberFormat="1" applyFont="1" applyFill="1" applyBorder="1" applyAlignment="1">
      <x:alignment horizontal="center" vertical="center"/>
    </x:xf>
    <x:xf numFmtId="0" fontId="11" fillId="5" borderId="1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200" fontId="8" fillId="0" borderId="1" xfId="0" applyNumberFormat="1" applyFont="1" applyFill="1" applyBorder="1" applyAlignment="1">
      <x:alignment horizontal="center" vertical="center"/>
    </x:xf>
    <x:xf numFmtId="201" fontId="8" fillId="0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4" fillId="2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15" fillId="7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07bdef19b4b99" /><Relationship Type="http://schemas.openxmlformats.org/officeDocument/2006/relationships/theme" Target="/xl/theme/theme1.xml" Id="Rd91d4cf44bdc4ea9" /><Relationship Type="http://schemas.openxmlformats.org/officeDocument/2006/relationships/sharedStrings" Target="/xl/sharedStrings.xml" Id="R1c5c9167f81344c1" /><Relationship Type="http://schemas.openxmlformats.org/officeDocument/2006/relationships/worksheet" Target="/xl/worksheets/sheet1.xml" Id="R2c560e9773134a68" /><Relationship Type="http://schemas.openxmlformats.org/officeDocument/2006/relationships/worksheet" Target="/xl/worksheets/sheet2.xml" Id="Rb5addc6b2d1c4f7f" /><Relationship Type="http://schemas.openxmlformats.org/officeDocument/2006/relationships/worksheet" Target="/xl/worksheets/sheet3.xml" Id="R042e90d916dd44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8644e93dba42d6" /><Relationship Type="http://schemas.openxmlformats.org/officeDocument/2006/relationships/chart" Target="/xl/drawings/charts/chart2.xml" Id="R462c81742b124cfb" /><Relationship Type="http://schemas.openxmlformats.org/officeDocument/2006/relationships/chart" Target="/xl/drawings/charts/chart3.xml" Id="R6402720f187a4b81" /><Relationship Type="http://schemas.openxmlformats.org/officeDocument/2006/relationships/chart" Target="/xl/drawings/charts/chart4.xml" Id="Rd77ab8767f114e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Taxa total de prenhez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Taxa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'Graficos'!$O$3:$O$4</c:f>
              <c:strCache>
                <c:ptCount val="0"/>
              </c:strCache>
            </c:strRef>
          </c:cat>
          <c:val>
            <c:numRef>
              <c:f>'Graficos'!$P$3:$P$4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0.7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Evolucao das taxas por rodada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Taxa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'Graficos'!$O$8:$O$16</c:f>
              <c:strCache>
                <c:ptCount val="0"/>
              </c:strCache>
            </c:strRef>
          </c:cat>
          <c:val>
            <c:numRef>
              <c:f>'Graficos'!$P$8:$P$16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0.7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6 touros IATF por taxa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Taxa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'Graficos'!$R$3:$R$8</c:f>
              <c:strCache>
                <c:ptCount val="0"/>
              </c:strCache>
            </c:strRef>
          </c:cat>
          <c:val>
            <c:numRef>
              <c:f>'Graficos'!$S$3:$S$8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0.9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Touros TETF por taxa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Taxa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'Graficos'!$U$3:$U$8</c:f>
              <c:strCache>
                <c:ptCount val="0"/>
              </c:strCache>
            </c:strRef>
          </c:cat>
          <c:val>
            <c:numRef>
              <c:f>'Graficos'!$V$3:$V$8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  <c:max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4</xdr:row>
      <xdr:rowOff>0</xdr:rowOff>
    </xdr:from>
    <xdr:to>
      <xdr:col>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8644e93dba42d6"/>
        </a:graphicData>
      </a:graphic>
    </xdr:graphicFrame>
    <xdr:clientData/>
  </xdr:twoCellAnchor>
  <xdr:twoCellAnchor>
    <xdr:from>
      <xdr:col>6</xdr:col>
      <xdr:colOff>0</xdr:colOff>
      <xdr:row>4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2c81742b124cfb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02720f187a4b8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14</xdr:col>
      <xdr:colOff>0</xdr:colOff>
      <xdr:row>28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7ab8767f114e9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6dea73132ee4a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2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hidden="0" customHeight="1">
      <x:c r="A1" s="70" t="str">
        <x:v>Resumo Reprodutivo - IATF e TETF</x:v>
      </x:c>
      <x:c r="B1" s="70"/>
      <x:c r="C1" s="70"/>
      <x:c r="D1" s="70"/>
      <x:c r="E1" s="70"/>
      <x:c r="F1" s="70"/>
      <x:c r="G1" s="70"/>
      <x:c r="H1" s="70"/>
      <x:c r="I1" s="72"/>
    </x:row>
    <x:row r="2" ht="20" hidden="0" customHeight="1">
      <x:c r="A2" s="52" t="str">
        <x:v>Base: IATF TETF 25-26 (1).xlsx | Considera apenas rodadas com DG fechado</x:v>
      </x:c>
      <x:c r="B2" s="50"/>
      <x:c r="C2" s="50"/>
      <x:c r="D2" s="50"/>
      <x:c r="E2" s="50"/>
      <x:c r="F2" s="50"/>
      <x:c r="G2" s="50"/>
      <x:c r="H2" s="50"/>
      <x:c r="I2" s="73"/>
    </x:row>
    <x:row r="3" ht="15" hidden="0" customHeight="1">
      <x:c r="A3" s="73"/>
      <x:c r="B3" s="73"/>
      <x:c r="C3" s="73"/>
      <x:c r="D3" s="73"/>
      <x:c r="E3" s="73"/>
      <x:c r="F3" s="73"/>
      <x:c r="G3" s="73"/>
      <x:c r="H3" s="73"/>
      <x:c r="I3" s="73"/>
    </x:row>
    <x:row r="4" ht="15" hidden="0" customHeight="1">
      <x:c r="A4" s="74" t="str">
        <x:v>IATF</x:v>
      </x:c>
      <x:c r="B4" s="74"/>
      <x:c r="C4" s="74"/>
      <x:c r="D4" s="74"/>
      <x:c r="E4" s="75" t="str">
        <x:v>TETF</x:v>
      </x:c>
      <x:c r="F4" s="75"/>
      <x:c r="G4" s="75"/>
      <x:c r="H4" s="75"/>
      <x:c r="I4" s="73"/>
    </x:row>
    <x:row r="5" ht="15" hidden="0" customHeight="1">
      <x:c r="A5" s="82" t="str">
        <x:v>Indicador</x:v>
      </x:c>
      <x:c r="B5" s="76" t="str">
        <x:v>Total</x:v>
      </x:c>
      <x:c r="C5" s="76" t="str">
        <x:v>Prenhezes</x:v>
      </x:c>
      <x:c r="D5" s="76" t="str">
        <x:v>Taxa</x:v>
      </x:c>
      <x:c r="E5" s="82" t="str">
        <x:v>Indicador</x:v>
      </x:c>
      <x:c r="F5" s="76" t="str">
        <x:v>Total</x:v>
      </x:c>
      <x:c r="G5" s="76" t="str">
        <x:v>Prenhezes</x:v>
      </x:c>
      <x:c r="H5" s="76" t="str">
        <x:v>Taxa</x:v>
      </x:c>
      <x:c r="I5" s="73"/>
    </x:row>
    <x:row r="6" ht="15" hidden="0" customHeight="1">
      <x:c r="A6" s="83" t="str">
        <x:v>Procedimentos concluidos</x:v>
      </x:c>
      <x:c r="B6" s="78" t="n">
        <x:v>188</x:v>
      </x:c>
      <x:c r="C6" s="78" t="n">
        <x:v>80</x:v>
      </x:c>
      <x:c r="D6" s="79" t="n">
        <x:f>C6/B6</x:f>
        <x:v>0.425531914893617</x:v>
      </x:c>
      <x:c r="E6" s="83" t="str">
        <x:v>Transferencias concluidas</x:v>
      </x:c>
      <x:c r="F6" s="78" t="n">
        <x:v>46</x:v>
      </x:c>
      <x:c r="G6" s="78" t="n">
        <x:v>16</x:v>
      </x:c>
      <x:c r="H6" s="79" t="n">
        <x:f>G6/F6</x:f>
        <x:v>0.34782608695652173</x:v>
      </x:c>
      <x:c r="I6" s="73"/>
    </x:row>
    <x:row r="7" ht="15" hidden="0" customHeight="1">
      <x:c r="A7" s="83" t="str">
        <x:v>Rodadas concluidas</x:v>
      </x:c>
      <x:c r="B7" s="78" t="n">
        <x:v>6</x:v>
      </x:c>
      <x:c r="C7" s="78"/>
      <x:c r="D7" s="79"/>
      <x:c r="E7" s="83" t="str">
        <x:v>Rodadas concluidas</x:v>
      </x:c>
      <x:c r="F7" s="78" t="n">
        <x:v>3</x:v>
      </x:c>
      <x:c r="G7" s="78"/>
      <x:c r="H7" s="79"/>
      <x:c r="I7" s="73"/>
    </x:row>
    <x:row r="8" ht="15" hidden="0" customHeight="1">
      <x:c r="A8" s="83" t="str">
        <x:v>Procedimentos pendentes</x:v>
      </x:c>
      <x:c r="B8" s="78" t="n">
        <x:v>0</x:v>
      </x:c>
      <x:c r="C8" s="78"/>
      <x:c r="D8" s="79"/>
      <x:c r="E8" s="83" t="str">
        <x:v>Transferencias pendentes</x:v>
      </x:c>
      <x:c r="F8" s="78" t="n">
        <x:v>0</x:v>
      </x:c>
      <x:c r="G8" s="78"/>
      <x:c r="H8" s="79"/>
      <x:c r="I8" s="73"/>
    </x:row>
    <x:row r="9" ht="15" hidden="0" customHeight="1">
      <x:c r="A9" s="73"/>
      <x:c r="B9" s="73"/>
      <x:c r="C9" s="73"/>
      <x:c r="D9" s="73"/>
      <x:c r="E9" s="73"/>
      <x:c r="F9" s="73"/>
      <x:c r="G9" s="73"/>
      <x:c r="H9" s="73"/>
      <x:c r="I9" s="73"/>
    </x:row>
    <x:row r="10" ht="15" hidden="0" customHeight="1">
      <x:c r="A10" s="80" t="str">
        <x:v>Rodada</x:v>
      </x:c>
      <x:c r="B10" s="80" t="str">
        <x:v>Procedimentos</x:v>
      </x:c>
      <x:c r="C10" s="80" t="str">
        <x:v>Prenhezes</x:v>
      </x:c>
      <x:c r="D10" s="80" t="str">
        <x:v>Taxa</x:v>
      </x:c>
      <x:c r="E10" s="84"/>
      <x:c r="F10" s="81" t="str">
        <x:v>Rodada</x:v>
      </x:c>
      <x:c r="G10" s="81" t="str">
        <x:v>Transferencias</x:v>
      </x:c>
      <x:c r="H10" s="81" t="str">
        <x:v>Prenhezes</x:v>
      </x:c>
      <x:c r="I10" s="81" t="str">
        <x:v>Taxa</x:v>
      </x:c>
    </x:row>
    <x:row r="11" ht="15" hidden="0" customHeight="1">
      <x:c r="A11" s="85" t="str">
        <x:v>1a IATF</x:v>
      </x:c>
      <x:c r="B11" s="86" t="n">
        <x:v>41</x:v>
      </x:c>
      <x:c r="C11" s="86" t="n">
        <x:v>25</x:v>
      </x:c>
      <x:c r="D11" s="87" t="n">
        <x:f>C11/B11</x:f>
        <x:v>0.6097560975609756</x:v>
      </x:c>
      <x:c r="E11" s="84"/>
      <x:c r="F11" s="85" t="str">
        <x:v>1a TETF Fresco</x:v>
      </x:c>
      <x:c r="G11" s="86" t="n">
        <x:v>8</x:v>
      </x:c>
      <x:c r="H11" s="86" t="n">
        <x:v>5</x:v>
      </x:c>
      <x:c r="I11" s="87" t="n">
        <x:f>H11/G11</x:f>
        <x:v>0.625</x:v>
      </x:c>
    </x:row>
    <x:row r="12" ht="15" hidden="0" customHeight="1">
      <x:c r="A12" s="85" t="str">
        <x:v>2a IATF</x:v>
      </x:c>
      <x:c r="B12" s="86" t="n">
        <x:v>43</x:v>
      </x:c>
      <x:c r="C12" s="86" t="n">
        <x:v>15</x:v>
      </x:c>
      <x:c r="D12" s="87" t="n">
        <x:f>C12/B12</x:f>
        <x:v>0.3488372093023256</x:v>
      </x:c>
      <x:c r="E12" s="84"/>
      <x:c r="F12" s="85" t="str">
        <x:v>2a TETF DT</x:v>
      </x:c>
      <x:c r="G12" s="86" t="n">
        <x:v>22</x:v>
      </x:c>
      <x:c r="H12" s="86" t="n">
        <x:v>4</x:v>
      </x:c>
      <x:c r="I12" s="87" t="n">
        <x:f>H12/G12</x:f>
        <x:v>0.18181818181818182</x:v>
      </x:c>
    </x:row>
    <x:row r="13" ht="15" hidden="0" customHeight="1">
      <x:c r="A13" s="85" t="str">
        <x:v>3a IATF</x:v>
      </x:c>
      <x:c r="B13" s="86" t="n">
        <x:v>42</x:v>
      </x:c>
      <x:c r="C13" s="86" t="n">
        <x:v>20</x:v>
      </x:c>
      <x:c r="D13" s="87" t="n">
        <x:f>C13/B13</x:f>
        <x:v>0.47619047619047616</x:v>
      </x:c>
      <x:c r="E13" s="84"/>
      <x:c r="F13" s="85" t="str">
        <x:v>3a TETF Fresco</x:v>
      </x:c>
      <x:c r="G13" s="86" t="n">
        <x:v>16</x:v>
      </x:c>
      <x:c r="H13" s="86" t="n">
        <x:v>7</x:v>
      </x:c>
      <x:c r="I13" s="87" t="n">
        <x:f>H13/G13</x:f>
        <x:v>0.4375</x:v>
      </x:c>
    </x:row>
    <x:row r="14" ht="15" hidden="0" customHeight="1">
      <x:c r="A14" s="85" t="str">
        <x:v>4a IATF</x:v>
      </x:c>
      <x:c r="B14" s="86" t="n">
        <x:v>21</x:v>
      </x:c>
      <x:c r="C14" s="86" t="n">
        <x:v>7</x:v>
      </x:c>
      <x:c r="D14" s="87" t="n">
        <x:f>C14/B14</x:f>
        <x:v>0.3333333333333333</x:v>
      </x:c>
      <x:c r="E14" s="84"/>
      <x:c r="F14" s="84"/>
      <x:c r="G14" s="84"/>
      <x:c r="H14" s="84"/>
      <x:c r="I14" s="84"/>
    </x:row>
    <x:row r="15" ht="15" hidden="0" customHeight="1">
      <x:c r="A15" s="85" t="str">
        <x:v>5a IATF</x:v>
      </x:c>
      <x:c r="B15" s="86" t="n">
        <x:v>16</x:v>
      </x:c>
      <x:c r="C15" s="86" t="n">
        <x:v>4</x:v>
      </x:c>
      <x:c r="D15" s="87" t="n">
        <x:f>C15/B15</x:f>
        <x:v>0.25</x:v>
      </x:c>
      <x:c r="E15" s="84"/>
      <x:c r="F15" s="84"/>
      <x:c r="G15" s="84"/>
      <x:c r="H15" s="84"/>
      <x:c r="I15" s="84"/>
    </x:row>
    <x:row r="16" ht="15" hidden="0" customHeight="1">
      <x:c r="A16" s="85" t="str">
        <x:v>6a IATF</x:v>
      </x:c>
      <x:c r="B16" s="86" t="n">
        <x:v>25</x:v>
      </x:c>
      <x:c r="C16" s="86" t="n">
        <x:v>9</x:v>
      </x:c>
      <x:c r="D16" s="87" t="n">
        <x:f>C16/B16</x:f>
        <x:v>0.36</x:v>
      </x:c>
      <x:c r="E16" s="84"/>
      <x:c r="F16" s="84"/>
      <x:c r="G16" s="84"/>
      <x:c r="H16" s="84"/>
      <x:c r="I16" s="84"/>
    </x:row>
    <x:row r="17" ht="15" hidden="0" customHeight="1">
      <x:c r="A17" s="84"/>
      <x:c r="B17" s="84"/>
      <x:c r="C17" s="84"/>
      <x:c r="D17" s="84"/>
      <x:c r="E17" s="84"/>
      <x:c r="F17" s="84"/>
      <x:c r="G17" s="84"/>
      <x:c r="H17" s="84"/>
      <x:c r="I17" s="84"/>
    </x:row>
    <x:row r="18" ht="15" hidden="0" customHeight="1">
      <x:c r="A18" s="80" t="str">
        <x:v>Touros IATF</x:v>
      </x:c>
      <x:c r="B18" s="80" t="str">
        <x:v>Servicos</x:v>
      </x:c>
      <x:c r="C18" s="80" t="str">
        <x:v>Prenhezes</x:v>
      </x:c>
      <x:c r="D18" s="80" t="str">
        <x:v>Taxa</x:v>
      </x:c>
      <x:c r="E18" s="84"/>
      <x:c r="F18" s="81" t="str">
        <x:v>Touros TETF</x:v>
      </x:c>
      <x:c r="G18" s="81" t="str">
        <x:v>Transferencias</x:v>
      </x:c>
      <x:c r="H18" s="81" t="str">
        <x:v>Prenhezes</x:v>
      </x:c>
      <x:c r="I18" s="81" t="str">
        <x:v>Taxa</x:v>
      </x:c>
    </x:row>
    <x:row r="19" ht="15" hidden="0" customHeight="1">
      <x:c r="A19" s="83" t="str">
        <x:v>921 BAMA</x:v>
      </x:c>
      <x:c r="B19" s="86" t="n">
        <x:v>9</x:v>
      </x:c>
      <x:c r="C19" s="86" t="n">
        <x:v>7</x:v>
      </x:c>
      <x:c r="D19" s="87" t="n">
        <x:f>C19/B19</x:f>
        <x:v>0.7777777777777778</x:v>
      </x:c>
      <x:c r="E19" s="84"/>
      <x:c r="F19" s="83" t="str">
        <x:v>TATICO SN</x:v>
      </x:c>
      <x:c r="G19" s="86" t="n">
        <x:v>3</x:v>
      </x:c>
      <x:c r="H19" s="86" t="n">
        <x:v>3</x:v>
      </x:c>
      <x:c r="I19" s="87" t="n">
        <x:f>H19/G19</x:f>
        <x:v>1</x:v>
      </x:c>
    </x:row>
    <x:row r="20" ht="15" hidden="0" customHeight="1">
      <x:c r="A20" s="83" t="str">
        <x:v>MALAIO</x:v>
      </x:c>
      <x:c r="B20" s="86" t="n">
        <x:v>4</x:v>
      </x:c>
      <x:c r="C20" s="86" t="n">
        <x:v>3</x:v>
      </x:c>
      <x:c r="D20" s="87" t="n">
        <x:f>C20/B20</x:f>
        <x:v>0.75</x:v>
      </x:c>
      <x:c r="E20" s="84"/>
      <x:c r="F20" s="83" t="str">
        <x:v>CAMAROTE</x:v>
      </x:c>
      <x:c r="G20" s="86" t="n">
        <x:v>2</x:v>
      </x:c>
      <x:c r="H20" s="86" t="n">
        <x:v>1</x:v>
      </x:c>
      <x:c r="I20" s="87" t="n">
        <x:f>H20/G20</x:f>
        <x:v>0.5</x:v>
      </x:c>
    </x:row>
    <x:row r="21" ht="15" hidden="0" customHeight="1">
      <x:c r="A21" s="83" t="str">
        <x:v>WANTUCK</x:v>
      </x:c>
      <x:c r="B21" s="86" t="n">
        <x:v>3</x:v>
      </x:c>
      <x:c r="C21" s="86" t="n">
        <x:v>2</x:v>
      </x:c>
      <x:c r="D21" s="87" t="n">
        <x:f>C21/B21</x:f>
        <x:v>0.6666666666666666</x:v>
      </x:c>
      <x:c r="E21" s="84"/>
      <x:c r="F21" s="83" t="str">
        <x:v>PARATUDO</x:v>
      </x:c>
      <x:c r="G21" s="86" t="n">
        <x:v>2</x:v>
      </x:c>
      <x:c r="H21" s="86" t="n">
        <x:v>1</x:v>
      </x:c>
      <x:c r="I21" s="87" t="n">
        <x:f>H21/G21</x:f>
        <x:v>0.5</x:v>
      </x:c>
    </x:row>
    <x:row r="22" ht="15" hidden="0" customHeight="1">
      <x:c r="A22" s="83" t="str">
        <x:v>FENOL</x:v>
      </x:c>
      <x:c r="B22" s="86" t="n">
        <x:v>10</x:v>
      </x:c>
      <x:c r="C22" s="86" t="n">
        <x:v>6</x:v>
      </x:c>
      <x:c r="D22" s="87" t="n">
        <x:f>C22/B22</x:f>
        <x:v>0.6</x:v>
      </x:c>
      <x:c r="E22" s="84"/>
      <x:c r="F22" s="85" t="str">
        <x:v>XARP COL</x:v>
      </x:c>
      <x:c r="G22" s="86" t="n">
        <x:v>19</x:v>
      </x:c>
      <x:c r="H22" s="86" t="n">
        <x:v>6</x:v>
      </x:c>
      <x:c r="I22" s="87" t="n">
        <x:f>H22/G22</x:f>
        <x:v>0.3157894736842105</x:v>
      </x:c>
    </x:row>
    <x:row r="23" ht="15" hidden="0" customHeight="1">
      <x:c r="A23" s="83" t="str">
        <x:v>DETROIT</x:v>
      </x:c>
      <x:c r="B23" s="86" t="n">
        <x:v>9</x:v>
      </x:c>
      <x:c r="C23" s="86" t="n">
        <x:v>5</x:v>
      </x:c>
      <x:c r="D23" s="87" t="n">
        <x:f>C23/B23</x:f>
        <x:v>0.5555555555555556</x:v>
      </x:c>
      <x:c r="E23" s="84"/>
      <x:c r="F23" s="85" t="str">
        <x:v>921 BAMA</x:v>
      </x:c>
      <x:c r="G23" s="86" t="n">
        <x:v>10</x:v>
      </x:c>
      <x:c r="H23" s="86" t="n">
        <x:v>3</x:v>
      </x:c>
      <x:c r="I23" s="87" t="n">
        <x:f>H23/G23</x:f>
        <x:v>0.3</x:v>
      </x:c>
    </x:row>
    <x:row r="24" ht="15" hidden="0" customHeight="1">
      <x:c r="A24" s="83" t="str">
        <x:v>PARAISO</x:v>
      </x:c>
      <x:c r="B24" s="86" t="n">
        <x:v>9</x:v>
      </x:c>
      <x:c r="C24" s="86" t="n">
        <x:v>5</x:v>
      </x:c>
      <x:c r="D24" s="87" t="n">
        <x:f>C24/B24</x:f>
        <x:v>0.5555555555555556</x:v>
      </x:c>
      <x:c r="E24" s="84"/>
      <x:c r="F24" s="85" t="str">
        <x:v>8108</x:v>
      </x:c>
      <x:c r="G24" s="86" t="n">
        <x:v>9</x:v>
      </x:c>
      <x:c r="H24" s="86" t="n">
        <x:v>2</x:v>
      </x:c>
      <x:c r="I24" s="87" t="n">
        <x:f>H24/G24</x:f>
        <x:v>0.2222222222222222</x:v>
      </x:c>
    </x:row>
    <x:row r="25" ht="15" hidden="0" customHeight="1">
      <x:c r="A25" s="83" t="str">
        <x:v>11 GAROTO</x:v>
      </x:c>
      <x:c r="B25" s="86" t="n">
        <x:v>10</x:v>
      </x:c>
      <x:c r="C25" s="86" t="n">
        <x:v>5</x:v>
      </x:c>
      <x:c r="D25" s="87" t="n">
        <x:f>C25/B25</x:f>
        <x:v>0.5</x:v>
      </x:c>
      <x:c r="E25" s="84"/>
      <x:c r="F25" s="84"/>
      <x:c r="G25" s="84"/>
      <x:c r="H25" s="84"/>
      <x:c r="I25" s="84"/>
    </x:row>
    <x:row r="26" ht="15" hidden="0" customHeight="1">
      <x:c r="A26" s="83" t="str">
        <x:v>BRUTAO ARF</x:v>
      </x:c>
      <x:c r="B26" s="86" t="n">
        <x:v>6</x:v>
      </x:c>
      <x:c r="C26" s="86" t="n">
        <x:v>3</x:v>
      </x:c>
      <x:c r="D26" s="87" t="n">
        <x:f>C26/B26</x:f>
        <x:v>0.5</x:v>
      </x:c>
      <x:c r="E26" s="84"/>
      <x:c r="F26" s="84"/>
      <x:c r="G26" s="84"/>
      <x:c r="H26" s="84"/>
      <x:c r="I26" s="84"/>
    </x:row>
    <x:row r="27" ht="15" hidden="0" customHeight="1">
      <x:c r="A27" s="83" t="str">
        <x:v>ESPIAO</x:v>
      </x:c>
      <x:c r="B27" s="86" t="n">
        <x:v>6</x:v>
      </x:c>
      <x:c r="C27" s="86" t="n">
        <x:v>3</x:v>
      </x:c>
      <x:c r="D27" s="87" t="n">
        <x:f>C27/B27</x:f>
        <x:v>0.5</x:v>
      </x:c>
      <x:c r="E27" s="84"/>
      <x:c r="F27" s="84"/>
      <x:c r="G27" s="84"/>
      <x:c r="H27" s="84"/>
      <x:c r="I27" s="84"/>
    </x:row>
    <x:row r="28" ht="15" hidden="0" customHeight="1">
      <x:c r="A28" s="83" t="str">
        <x:v>HANCOCK</x:v>
      </x:c>
      <x:c r="B28" s="86" t="n">
        <x:v>6</x:v>
      </x:c>
      <x:c r="C28" s="86" t="n">
        <x:v>3</x:v>
      </x:c>
      <x:c r="D28" s="87" t="n">
        <x:f>C28/B28</x:f>
        <x:v>0.5</x:v>
      </x:c>
      <x:c r="E28" s="84"/>
      <x:c r="F28" s="84"/>
      <x:c r="G28" s="84"/>
      <x:c r="H28" s="84"/>
      <x:c r="I28" s="84"/>
    </x:row>
    <x:row r="29" ht="15" hidden="0" customHeight="1">
      <x:c r="A29" s="73"/>
      <x:c r="B29" s="73"/>
      <x:c r="C29" s="73"/>
      <x:c r="D29" s="73"/>
      <x:c r="E29" s="73"/>
      <x:c r="F29" s="73"/>
      <x:c r="G29" s="73"/>
      <x:c r="H29" s="73"/>
      <x:c r="I29" s="73"/>
    </x:row>
    <x:row r="30" ht="38" hidden="0" customHeight="1">
      <x:c r="A30" s="61" t="str">
        <x:v>Observacao: nesta base substituta, 6a IATF e 3a TETF Fresco ja entram nos calculos porque o DG esta fechado.</x:v>
      </x:c>
      <x:c r="B30" s="62"/>
      <x:c r="C30" s="62"/>
      <x:c r="D30" s="62"/>
      <x:c r="E30" s="62"/>
      <x:c r="F30" s="62"/>
      <x:c r="G30" s="62"/>
      <x:c r="H30" s="62"/>
      <x:c r="I30" s="63"/>
    </x:row>
    <x:row r="31" ht="38" hidden="0" customHeight="1">
      <x:c r="A31" s="64"/>
      <x:c r="B31" s="65"/>
      <x:c r="C31" s="65"/>
      <x:c r="D31" s="65"/>
      <x:c r="E31" s="65"/>
      <x:c r="F31" s="65"/>
      <x:c r="G31" s="65"/>
      <x:c r="H31" s="65"/>
      <x:c r="I31" s="66"/>
    </x:row>
    <x:row r="32" ht="38" hidden="0" customHeight="1">
      <x:c r="A32" s="67"/>
      <x:c r="B32" s="68"/>
      <x:c r="C32" s="68"/>
      <x:c r="D32" s="68"/>
      <x:c r="E32" s="68"/>
      <x:c r="F32" s="68"/>
      <x:c r="G32" s="68"/>
      <x:c r="H32" s="68"/>
      <x:c r="I32" s="69"/>
    </x:row>
  </x:sheetData>
  <x:mergeCells>
    <x:mergeCell ref="A1:H1"/>
    <x:mergeCell ref="A2:H2"/>
    <x:mergeCell ref="A4:D4"/>
    <x:mergeCell ref="E4:H4"/>
    <x:mergeCell ref="A30:I30"/>
    <x:mergeCell ref="A31:I31"/>
    <x:mergeCell ref="A32:I32"/>
  </x:mergeCells>
  <x:conditionalFormatting sqref="A1:I32">
    <x:cfRule type="expression" dxfId="0" priority="1">
      <x:formula>AND(CELL("row")&gt;=19,CELL("row")&lt;=28,$D19&gt;=0.55)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0" hidden="0" customWidth="1"/>
    <x:col min="4" max="4" width="42" hidden="0" customWidth="1"/>
  </x:cols>
  <x:sheetData>
    <x:row r="1" ht="15" hidden="0" customHeight="1">
      <x:c r="A1" s="99" t="str">
        <x:v>Glossario Geral - Planilha Reprodutiva</x:v>
      </x:c>
      <x:c r="B1" s="99"/>
      <x:c r="C1" s="99"/>
      <x:c r="D1" s="99"/>
    </x:row>
    <x:row r="2" ht="15" hidden="0" customHeight="1">
      <x:c r="A2" s="92" t="str">
        <x:v>Siglas e abreviacoes identificadas no arquivo original. Itens nao explicitos foram inferidos pelo contexto.</x:v>
      </x:c>
      <x:c r="B2" s="99"/>
      <x:c r="C2" s="99"/>
      <x:c r="D2" s="99"/>
    </x:row>
    <x:row r="3" ht="15" hidden="0" customHeight="1">
      <x:c r="A3" s="51"/>
      <x:c r="B3" s="51"/>
      <x:c r="C3" s="51"/>
      <x:c r="D3" s="51"/>
    </x:row>
    <x:row r="4" ht="15" hidden="0" customHeight="1">
      <x:c r="A4" s="80" t="str">
        <x:v>Categoria</x:v>
      </x:c>
      <x:c r="B4" s="80" t="str">
        <x:v>Sigla / Termo</x:v>
      </x:c>
      <x:c r="C4" s="80" t="str">
        <x:v>Significado</x:v>
      </x:c>
      <x:c r="D4" s="80" t="str">
        <x:v>Observacao</x:v>
      </x:c>
    </x:row>
    <x:row r="5" ht="15" hidden="0" customHeight="1">
      <x:c r="A5" s="100" t="str">
        <x:v>Reproducao</x:v>
      </x:c>
      <x:c r="B5" s="101" t="str">
        <x:v>IATF</x:v>
      </x:c>
      <x:c r="C5" s="101" t="str">
        <x:v>Inseminacao Artificial em Tempo Fixo</x:v>
      </x:c>
      <x:c r="D5" s="101" t="str">
        <x:v>Inseminacao programada em data definida.</x:v>
      </x:c>
    </x:row>
    <x:row r="6" ht="15" hidden="0" customHeight="1">
      <x:c r="A6" s="100" t="str">
        <x:v>Reproducao</x:v>
      </x:c>
      <x:c r="B6" s="101" t="str">
        <x:v>TETF</x:v>
      </x:c>
      <x:c r="C6" s="101" t="str">
        <x:v>Transferencia de Embriao em Tempo Fixo</x:v>
      </x:c>
      <x:c r="D6" s="101" t="str">
        <x:v>Transferencia programada em data definida.</x:v>
      </x:c>
    </x:row>
    <x:row r="7" ht="15" hidden="0" customHeight="1">
      <x:c r="A7" s="100" t="str">
        <x:v>Reproducao</x:v>
      </x:c>
      <x:c r="B7" s="101" t="str">
        <x:v>TE</x:v>
      </x:c>
      <x:c r="C7" s="101" t="str">
        <x:v>Transferencia de Embriao</x:v>
      </x:c>
      <x:c r="D7" s="101" t="str">
        <x:v>Usado nas abas de embriao.</x:v>
      </x:c>
    </x:row>
    <x:row r="8" ht="15" hidden="0" customHeight="1">
      <x:c r="A8" s="100" t="str">
        <x:v>Reproducao</x:v>
      </x:c>
      <x:c r="B8" s="101" t="str">
        <x:v>DG</x:v>
      </x:c>
      <x:c r="C8" s="101" t="str">
        <x:v>Diagnostico de Gestacao</x:v>
      </x:c>
      <x:c r="D8" s="101" t="str">
        <x:v>Confirma se a femea ficou prenhe.</x:v>
      </x:c>
    </x:row>
    <x:row r="9" ht="15" hidden="0" customHeight="1">
      <x:c r="A9" s="100" t="str">
        <x:v>Reproducao</x:v>
      </x:c>
      <x:c r="B9" s="101" t="str">
        <x:v>P+</x:v>
      </x:c>
      <x:c r="C9" s="101" t="str">
        <x:v>Positivo para prenhez</x:v>
      </x:c>
      <x:c r="D9" s="101" t="str">
        <x:v>Resultado positivo no DG.</x:v>
      </x:c>
    </x:row>
    <x:row r="10" ht="15" hidden="0" customHeight="1">
      <x:c r="A10" s="100" t="str">
        <x:v>Reproducao</x:v>
      </x:c>
      <x:c r="B10" s="101" t="str">
        <x:v>DT</x:v>
      </x:c>
      <x:c r="C10" s="101" t="str">
        <x:v>Provavelmente embriao descongelado</x:v>
      </x:c>
      <x:c r="D10" s="101" t="str">
        <x:v>Inferido pelo contexto da aba 2a TETF DT.</x:v>
      </x:c>
    </x:row>
    <x:row r="11" ht="15" hidden="0" customHeight="1">
      <x:c r="A11" s="100" t="str">
        <x:v>Reproducao</x:v>
      </x:c>
      <x:c r="B11" s="101" t="str">
        <x:v>FRESCO</x:v>
      </x:c>
      <x:c r="C11" s="101" t="str">
        <x:v>Embriao fresco</x:v>
      </x:c>
      <x:c r="D11" s="101" t="str">
        <x:v>Modalidade de transferencia.</x:v>
      </x:c>
    </x:row>
    <x:row r="12" ht="15" hidden="0" customHeight="1">
      <x:c r="A12" s="100" t="str">
        <x:v>Protocolo</x:v>
      </x:c>
      <x:c r="B12" s="101" t="str">
        <x:v>D-0</x:v>
      </x:c>
      <x:c r="C12" s="101" t="str">
        <x:v>Dia 0 do protocolo</x:v>
      </x:c>
      <x:c r="D12" s="101" t="str">
        <x:v>Inicio do manejo hormonal.</x:v>
      </x:c>
    </x:row>
    <x:row r="13" ht="15" hidden="0" customHeight="1">
      <x:c r="A13" s="100" t="str">
        <x:v>Protocolo</x:v>
      </x:c>
      <x:c r="B13" s="101" t="str">
        <x:v>D-8</x:v>
      </x:c>
      <x:c r="C13" s="101" t="str">
        <x:v>Dia 8 do protocolo</x:v>
      </x:c>
      <x:c r="D13" s="101" t="str">
        <x:v>Etapa intermediaria do manejo hormonal.</x:v>
      </x:c>
    </x:row>
    <x:row r="14" ht="15" hidden="0" customHeight="1">
      <x:c r="A14" s="100" t="str">
        <x:v>Protocolo</x:v>
      </x:c>
      <x:c r="B14" s="101" t="str">
        <x:v>PROT</x:v>
      </x:c>
      <x:c r="C14" s="101" t="str">
        <x:v>Protocolo</x:v>
      </x:c>
      <x:c r="D14" s="101" t="str">
        <x:v>Abreviacao geral do manejo reprodutivo.</x:v>
      </x:c>
    </x:row>
    <x:row r="15" ht="15" hidden="0" customHeight="1">
      <x:c r="A15" s="100" t="str">
        <x:v>Protocolo</x:v>
      </x:c>
      <x:c r="B15" s="101" t="str">
        <x:v>CL PROT</x:v>
      </x:c>
      <x:c r="C15" s="101" t="str">
        <x:v>Corpo luteo no protocolo</x:v>
      </x:c>
      <x:c r="D15" s="101" t="str">
        <x:v>Achado/condicao observada no protocolo.</x:v>
      </x:c>
    </x:row>
    <x:row r="16" ht="15" hidden="0" customHeight="1">
      <x:c r="A16" s="100" t="str">
        <x:v>Protocolo</x:v>
      </x:c>
      <x:c r="B16" s="101" t="str">
        <x:v>FOL PROT</x:v>
      </x:c>
      <x:c r="C16" s="101" t="str">
        <x:v>Foliculo no protocolo</x:v>
      </x:c>
      <x:c r="D16" s="101" t="str">
        <x:v>Achado/condicao observada no protocolo.</x:v>
      </x:c>
    </x:row>
    <x:row r="17" ht="15" hidden="0" customHeight="1">
      <x:c r="A17" s="100" t="str">
        <x:v>Protocolo</x:v>
      </x:c>
      <x:c r="B17" s="101" t="str">
        <x:v>CIO PROT</x:v>
      </x:c>
      <x:c r="C17" s="101" t="str">
        <x:v>Cio no protocolo</x:v>
      </x:c>
      <x:c r="D17" s="101" t="str">
        <x:v>Cio observado durante o protocolo.</x:v>
      </x:c>
    </x:row>
    <x:row r="18" ht="15" hidden="0" customHeight="1">
      <x:c r="A18" s="100" t="str">
        <x:v>Protocolo</x:v>
      </x:c>
      <x:c r="B18" s="101" t="str">
        <x:v>ANESTRO</x:v>
      </x:c>
      <x:c r="C18" s="101" t="str">
        <x:v>Anestro</x:v>
      </x:c>
      <x:c r="D18" s="101" t="str">
        <x:v>Femea sem atividade ciclica aparente.</x:v>
      </x:c>
    </x:row>
    <x:row r="19" ht="15" hidden="0" customHeight="1">
      <x:c r="A19" s="100" t="str">
        <x:v>Protocolo</x:v>
      </x:c>
      <x:c r="B19" s="101" t="str">
        <x:v>SINCROGEST</x:v>
      </x:c>
      <x:c r="C19" s="101" t="str">
        <x:v>Nome comercial de protocolo/dispositivo hormonal</x:v>
      </x:c>
      <x:c r="D19" s="101" t="str">
        <x:v>Mantido como nome de produto.</x:v>
      </x:c>
    </x:row>
    <x:row r="20" ht="15" hidden="0" customHeight="1">
      <x:c r="A20" s="100" t="str">
        <x:v>Protocolo</x:v>
      </x:c>
      <x:c r="B20" s="101" t="str">
        <x:v>CL CAV PROT</x:v>
      </x:c>
      <x:c r="C20" s="101" t="str">
        <x:v>Provavelmente corpo luteo cavitario no protocolo</x:v>
      </x:c>
      <x:c r="D20" s="101" t="str">
        <x:v>Inferido pelo contexto.</x:v>
      </x:c>
    </x:row>
    <x:row r="21" ht="15" hidden="0" customHeight="1">
      <x:c r="A21" s="100" t="str">
        <x:v>Protocolo</x:v>
      </x:c>
      <x:c r="B21" s="101" t="str">
        <x:v>V</x:v>
      </x:c>
      <x:c r="C21" s="101" t="str">
        <x:v>Negativa / vazia</x:v>
      </x:c>
      <x:c r="D21" s="101" t="str">
        <x:v>Inferido pelo uso oposto a P+.</x:v>
      </x:c>
    </x:row>
    <x:row r="22" ht="24" hidden="0" customHeight="1">
      <x:c r="A22" s="100" t="str">
        <x:v>Protocolo</x:v>
      </x:c>
      <x:c r="B22" s="101" t="str">
        <x:v>V PROT / V FOL PROT / V CL PROT / V CIO PROT</x:v>
      </x:c>
      <x:c r="C22" s="101" t="str">
        <x:v>Diagnostico negativo com anotacao do achado</x:v>
      </x:c>
      <x:c r="D22" s="101" t="str">
        <x:v>Inferido pelo contexto.</x:v>
      </x:c>
    </x:row>
    <x:row r="23" ht="15" hidden="0" customHeight="1">
      <x:c r="A23" s="100" t="str">
        <x:v>Protocolo</x:v>
      </x:c>
      <x:c r="B23" s="101" t="str">
        <x:v>V NAO</x:v>
      </x:c>
      <x:c r="C23" s="101" t="str">
        <x:v>Nao prenhe</x:v>
      </x:c>
      <x:c r="D23" s="101" t="str">
        <x:v>Inferido pelo contexto.</x:v>
      </x:c>
    </x:row>
    <x:row r="24" ht="15" hidden="0" customHeight="1">
      <x:c r="A24" s="100" t="str">
        <x:v>Protocolo</x:v>
      </x:c>
      <x:c r="B24" s="101" t="str">
        <x:v>V FRACA PROT</x:v>
      </x:c>
      <x:c r="C24" s="101" t="str">
        <x:v>Negativa com resposta mais fraca</x:v>
      </x:c>
      <x:c r="D24" s="101" t="str">
        <x:v>Inferido pelo contexto.</x:v>
      </x:c>
    </x:row>
    <x:row r="25" ht="15" hidden="0" customHeight="1">
      <x:c r="A25" s="100" t="str">
        <x:v>Protocolo</x:v>
      </x:c>
      <x:c r="B25" s="101" t="str">
        <x:v>CISTO OD PROT</x:v>
      </x:c>
      <x:c r="C25" s="101" t="str">
        <x:v>Cisto em ovario direito no protocolo</x:v>
      </x:c>
      <x:c r="D25" s="101" t="str">
        <x:v>OD = ovario direito, inferido.</x:v>
      </x:c>
    </x:row>
    <x:row r="26" ht="15" hidden="0" customHeight="1">
      <x:c r="A26" s="100" t="str">
        <x:v>Protocolo</x:v>
      </x:c>
      <x:c r="B26" s="101" t="str">
        <x:v>20 CISTO</x:v>
      </x:c>
      <x:c r="C26" s="101" t="str">
        <x:v>Anotacao de cisto com medida/classificacao</x:v>
      </x:c>
      <x:c r="D26" s="101" t="str">
        <x:v>Inferido pelo contexto.</x:v>
      </x:c>
    </x:row>
    <x:row r="27" ht="15" hidden="0" customHeight="1">
      <x:c r="A27" s="100" t="str">
        <x:v>Embriao</x:v>
      </x:c>
      <x:c r="B27" s="101" t="str">
        <x:v>ACASALAMENTO</x:v>
      </x:c>
      <x:c r="C27" s="101" t="str">
        <x:v>Combinacao doadora x touro</x:v>
      </x:c>
      <x:c r="D27" s="101" t="str">
        <x:v>Ex.: LCF993 X 8108.</x:v>
      </x:c>
    </x:row>
    <x:row r="28" ht="15" hidden="0" customHeight="1">
      <x:c r="A28" s="100" t="str">
        <x:v>Embriao</x:v>
      </x:c>
      <x:c r="B28" s="101" t="str">
        <x:v>RECEPTORA</x:v>
      </x:c>
      <x:c r="C28" s="101" t="str">
        <x:v>Vaca receptora do embriao</x:v>
      </x:c>
      <x:c r="D28" s="101" t="str">
        <x:v>Animal que recebe o embriao.</x:v>
      </x:c>
    </x:row>
    <x:row r="29" ht="15" hidden="0" customHeight="1">
      <x:c r="A29" s="100" t="str">
        <x:v>Embriao</x:v>
      </x:c>
      <x:c r="B29" s="101" t="str">
        <x:v>BEZERRO</x:v>
      </x:c>
      <x:c r="C29" s="101" t="str">
        <x:v>Identificacao do bezerro</x:v>
      </x:c>
      <x:c r="D29" s="101" t="str">
        <x:v>Codigo do nascido.</x:v>
      </x:c>
    </x:row>
    <x:row r="30" ht="15" hidden="0" customHeight="1">
      <x:c r="A30" s="100" t="str">
        <x:v>Embriao</x:v>
      </x:c>
      <x:c r="B30" s="101" t="str">
        <x:v>PREVISAO PARTO</x:v>
      </x:c>
      <x:c r="C30" s="101" t="str">
        <x:v>Data prevista do parto</x:v>
      </x:c>
      <x:c r="D30" s="101" t="str">
        <x:v>Campo de acompanhamento.</x:v>
      </x:c>
    </x:row>
    <x:row r="31" ht="15" hidden="0" customHeight="1">
      <x:c r="A31" s="100" t="str">
        <x:v>Embriao</x:v>
      </x:c>
      <x:c r="B31" s="101" t="str">
        <x:v>DT NASC</x:v>
      </x:c>
      <x:c r="C31" s="101" t="str">
        <x:v>Data de nascimento</x:v>
      </x:c>
      <x:c r="D31" s="101" t="str">
        <x:v>Campo de acompanhamento.</x:v>
      </x:c>
    </x:row>
    <x:row r="32" ht="15" hidden="0" customHeight="1">
      <x:c r="A32" s="100" t="str">
        <x:v>Embriao</x:v>
      </x:c>
      <x:c r="B32" s="101" t="str">
        <x:v>F</x:v>
      </x:c>
      <x:c r="C32" s="101" t="str">
        <x:v>Femea</x:v>
      </x:c>
      <x:c r="D32" s="101" t="str">
        <x:v>Sexo da cria ou anotacao do resultado.</x:v>
      </x:c>
    </x:row>
    <x:row r="33" ht="15" hidden="0" customHeight="1">
      <x:c r="A33" s="100" t="str">
        <x:v>Embriao</x:v>
      </x:c>
      <x:c r="B33" s="101" t="str">
        <x:v>M</x:v>
      </x:c>
      <x:c r="C33" s="101" t="str">
        <x:v>Macho</x:v>
      </x:c>
      <x:c r="D33" s="101" t="str">
        <x:v>Sexo da cria ou anotacao do resultado.</x:v>
      </x:c>
    </x:row>
    <x:row r="34" ht="15" hidden="0" customHeight="1">
      <x:c r="A34" s="100" t="str">
        <x:v>Controle</x:v>
      </x:c>
      <x:c r="B34" s="101" t="str">
        <x:v>BRINCO</x:v>
      </x:c>
      <x:c r="C34" s="101" t="str">
        <x:v>Numero de identificacao do animal</x:v>
      </x:c>
      <x:c r="D34" s="101" t="str">
        <x:v>Identificador de campo.</x:v>
      </x:c>
    </x:row>
    <x:row r="35" ht="15" hidden="0" customHeight="1">
      <x:c r="A35" s="100" t="str">
        <x:v>Controle</x:v>
      </x:c>
      <x:c r="B35" s="101" t="str">
        <x:v>RGD / RGN</x:v>
      </x:c>
      <x:c r="C35" s="101" t="str">
        <x:v>Codigo ou registro do animal</x:v>
      </x:c>
      <x:c r="D35" s="101" t="str">
        <x:v>A planilha nao explicita o nome por extenso.</x:v>
      </x:c>
    </x:row>
    <x:row r="36" ht="15" hidden="0" customHeight="1">
      <x:c r="A36" s="100" t="str">
        <x:v>Controle</x:v>
      </x:c>
      <x:c r="B36" s="101" t="str">
        <x:v>BOTIJAO</x:v>
      </x:c>
      <x:c r="C36" s="101" t="str">
        <x:v>Botijao de semen</x:v>
      </x:c>
      <x:c r="D36" s="101" t="str">
        <x:v>Localizacao do material genetico.</x:v>
      </x:c>
    </x:row>
    <x:row r="37" ht="15" hidden="0" customHeight="1">
      <x:c r="A37" s="100" t="str">
        <x:v>Controle</x:v>
      </x:c>
      <x:c r="B37" s="101" t="str">
        <x:v>OBS</x:v>
      </x:c>
      <x:c r="C37" s="101" t="str">
        <x:v>Observacoes</x:v>
      </x:c>
      <x:c r="D37" s="101" t="str">
        <x:v>Campo livre para anotacoes.</x:v>
      </x:c>
    </x:row>
    <x:row r="38" ht="15" hidden="0" customHeight="1">
      <x:c r="A38" s="100" t="str">
        <x:v>Resumo</x:v>
      </x:c>
      <x:c r="B38" s="101" t="str">
        <x:v>TOTAL</x:v>
      </x:c>
      <x:c r="C38" s="101" t="str">
        <x:v>Total da secao</x:v>
      </x:c>
      <x:c r="D38" s="101" t="str">
        <x:v>Soma ou consolidado da area.</x:v>
      </x:c>
    </x:row>
    <x:row r="39" ht="15" hidden="0" customHeight="1">
      <x:c r="A39" s="100" t="str">
        <x:v>Resumo</x:v>
      </x:c>
      <x:c r="B39" s="101" t="str">
        <x:v>TX DESF / TX DESFRUTE</x:v>
      </x:c>
      <x:c r="C39" s="101" t="str">
        <x:v>Taxa de desfrute</x:v>
      </x:c>
      <x:c r="D39" s="101" t="str">
        <x:v>Aproveitamento dentro da rotina da aba.</x:v>
      </x:c>
    </x:row>
    <x:row r="40" ht="15" hidden="0" customHeight="1">
      <x:c r="A40" s="100" t="str">
        <x:v>Resumo</x:v>
      </x:c>
      <x:c r="B40" s="101" t="str">
        <x:v>PRENHES</x:v>
      </x:c>
      <x:c r="C40" s="101" t="str">
        <x:v>Quantidade de prenhezes</x:v>
      </x:c>
      <x:c r="D40" s="101" t="str">
        <x:v>Total positivo na etapa.</x:v>
      </x:c>
    </x:row>
    <x:row r="41" ht="15" hidden="0" customHeight="1">
      <x:c r="A41" s="100" t="str">
        <x:v>Resumo</x:v>
      </x:c>
      <x:c r="B41" s="101" t="str">
        <x:v>PROTOCOLOS / PROTOC</x:v>
      </x:c>
      <x:c r="C41" s="101" t="str">
        <x:v>Quantidade de animais protocolados</x:v>
      </x:c>
      <x:c r="D41" s="101" t="str">
        <x:v>Total de entrada no manejo.</x:v>
      </x:c>
    </x:row>
    <x:row r="42" ht="15" hidden="0" customHeight="1">
      <x:c r="A42" s="100" t="str">
        <x:v>Resumo</x:v>
      </x:c>
      <x:c r="B42" s="101" t="str">
        <x:v>DOSES</x:v>
      </x:c>
      <x:c r="C42" s="101" t="str">
        <x:v>Quantidade de doses por touro</x:v>
      </x:c>
      <x:c r="D42" s="101" t="str">
        <x:v>Usado nos quadros de IATF.</x:v>
      </x:c>
    </x:row>
    <x:row r="43" ht="15" hidden="0" customHeight="1">
      <x:c r="A43" s="100" t="str">
        <x:v>Resumo</x:v>
      </x:c>
      <x:c r="B43" s="101" t="str">
        <x:v>SERVICOS</x:v>
      </x:c>
      <x:c r="C43" s="101" t="str">
        <x:v>Quantidade de utilizacoes do touro</x:v>
      </x:c>
      <x:c r="D43" s="101" t="str">
        <x:v>Base para calcular a taxa por touro.</x:v>
      </x:c>
    </x:row>
    <x:row r="44" ht="24" hidden="0" customHeight="1">
      <x:c r="A44" s="100" t="str">
        <x:v>Resumo</x:v>
      </x:c>
      <x:c r="B44" s="101" t="str">
        <x:v>TAXA</x:v>
      </x:c>
      <x:c r="C44" s="101" t="str">
        <x:v>Percentual de prenhez</x:v>
      </x:c>
      <x:c r="D44" s="101" t="str">
        <x:v>Prenhezes divididas pelos procedimentos ou transferencias.</x:v>
      </x:c>
    </x:row>
    <x:row r="45" ht="15" hidden="0" customHeight="1">
      <x:c r="A45" s="100" t="str">
        <x:v>Outros</x:v>
      </x:c>
      <x:c r="B45" s="101" t="str">
        <x:v>OK</x:v>
      </x:c>
      <x:c r="C45" s="101" t="str">
        <x:v>Etapa realizada normalmente</x:v>
      </x:c>
      <x:c r="D45" s="101" t="str">
        <x:v>Status operacional.</x:v>
      </x:c>
    </x:row>
    <x:row r="46" ht="15" hidden="0" customHeight="1">
      <x:c r="A46" s="100" t="str">
        <x:v>Outros</x:v>
      </x:c>
      <x:c r="B46" s="101" t="str">
        <x:v>X</x:v>
      </x:c>
      <x:c r="C46" s="101" t="str">
        <x:v>Fora da etapa / nao realizado</x:v>
      </x:c>
      <x:c r="D46" s="101" t="str">
        <x:v>Inferido pelo contexto.</x:v>
      </x:c>
    </x:row>
    <x:row r="47" ht="15" hidden="0" customHeight="1">
      <x:c r="A47" s="100" t="str">
        <x:v>Outros</x:v>
      </x:c>
      <x:c r="B47" s="101" t="str">
        <x:v>PERDEU</x:v>
      </x:c>
      <x:c r="C47" s="101" t="str">
        <x:v>Perda do protocolo ou da gestacao</x:v>
      </x:c>
      <x:c r="D47" s="101" t="str">
        <x:v>Depende da linha.</x:v>
      </x:c>
    </x:row>
    <x:row r="48" ht="15" hidden="0" customHeight="1">
      <x:c r="A48" s="100" t="str">
        <x:v>Outros</x:v>
      </x:c>
      <x:c r="B48" s="101" t="str">
        <x:v>MORREU</x:v>
      </x:c>
      <x:c r="C48" s="101" t="str">
        <x:v>Morte do animal</x:v>
      </x:c>
      <x:c r="D48" s="101" t="str">
        <x:v>Saida do lote.</x:v>
      </x:c>
    </x:row>
    <x:row r="49" ht="15" hidden="0" customHeight="1">
      <x:c r="A49" s="100" t="str">
        <x:v>Outros</x:v>
      </x:c>
      <x:c r="B49" s="101" t="str">
        <x:v>DESCARTE</x:v>
      </x:c>
      <x:c r="C49" s="101" t="str">
        <x:v>Animal ou embriao descartado</x:v>
      </x:c>
      <x:c r="D49" s="101" t="str">
        <x:v>Nao entra como resultado produtivo.</x:v>
      </x:c>
    </x:row>
    <x:row r="50" ht="15" hidden="0" customHeight="1">
      <x:c r="A50" s="100" t="str">
        <x:v>Outros</x:v>
      </x:c>
      <x:c r="B50" s="101" t="str">
        <x:v>NAO</x:v>
      </x:c>
      <x:c r="C50" s="101" t="str">
        <x:v>Nao realizado ou nao aproveitado</x:v>
      </x:c>
      <x:c r="D50" s="101" t="str">
        <x:v>Depende da coluna.</x:v>
      </x:c>
    </x:row>
    <x:row r="51" ht="15" hidden="0" customHeight="1">
      <x:c r="A51" s="100" t="str">
        <x:v>Outros</x:v>
      </x:c>
      <x:c r="B51" s="101" t="str">
        <x:v>GNRH</x:v>
      </x:c>
      <x:c r="C51" s="101" t="str">
        <x:v>Hormonal GnRH</x:v>
      </x:c>
      <x:c r="D51" s="101" t="str">
        <x:v>Medicacao de manejo reprodutivo.</x:v>
      </x:c>
    </x:row>
    <x:row r="52" ht="15" hidden="0" customHeight="1">
      <x:c r="A52" s="100" t="str">
        <x:v>Outros</x:v>
      </x:c>
      <x:c r="B52" s="101" t="str">
        <x:v>MAIS FRACA</x:v>
      </x:c>
      <x:c r="C52" s="101" t="str">
        <x:v>Resposta ou condicao mais fraca</x:v>
      </x:c>
      <x:c r="D52" s="101" t="str">
        <x:v>Inferido pelo contexto.</x:v>
      </x:c>
    </x:row>
    <x:row r="53" ht="15" hidden="0" customHeight="1">
      <x:c r="A53" s="100" t="str">
        <x:v>Localizacao</x:v>
      </x:c>
      <x:c r="B53" s="101" t="str">
        <x:v>1 B1 / 2 B2 / 6 B1</x:v>
      </x:c>
      <x:c r="C53" s="101" t="str">
        <x:v>Provavel posicao da dose no botijao</x:v>
      </x:c>
      <x:c r="D53" s="101" t="str">
        <x:v>Inferido pelo contexto da coluna BOTIJAO.</x:v>
      </x:c>
    </x:row>
    <x:row r="54" ht="15" hidden="0" customHeight="1">
      <x:c r="A54" s="51"/>
      <x:c r="B54" s="51"/>
      <x:c r="C54" s="51"/>
      <x:c r="D54" s="51"/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14" max="14" width="12" hidden="0" customWidth="1"/>
  </x:cols>
  <x:sheetData>
    <x:row r="1" ht="28" customHeight="1">
      <x:c r="A1" s="99" t="str">
        <x:v>Painel Grafico - Resumo Produtivo</x:v>
      </x:c>
      <x:c r="B1" s="99"/>
      <x:c r="C1" s="99"/>
      <x:c r="D1" s="99"/>
      <x:c r="E1" s="99"/>
      <x:c r="F1" s="99"/>
      <x:c r="G1" s="99"/>
      <x:c r="H1" s="99"/>
      <x:c r="I1" s="99"/>
      <x:c r="J1" s="99"/>
      <x:c r="K1" s="99"/>
      <x:c r="L1" s="99"/>
      <x:c r="M1" s="99"/>
      <x:c r="N1" s="99"/>
    </x:row>
    <x:row r="2" ht="22" customHeight="1">
      <x:c r="A2" s="92" t="str">
        <x:v>Graficos baseados na nova planilha substituta. Rankings TETF devem ser lidos com cautela por causa da amostra menor.</x:v>
      </x:c>
      <x:c r="B2" s="99"/>
      <x:c r="C2" s="99"/>
      <x:c r="D2" s="99"/>
      <x:c r="E2" s="99"/>
      <x:c r="F2" s="99"/>
      <x:c r="G2" s="99"/>
      <x:c r="H2" s="99"/>
      <x:c r="I2" s="99"/>
      <x:c r="J2" s="99"/>
      <x:c r="K2" s="99"/>
      <x:c r="L2" s="99"/>
      <x:c r="M2" s="99"/>
      <x:c r="N2" s="99"/>
      <x:c r="O2" t="str">
        <x:v>Tecnica</x:v>
      </x:c>
      <x:c r="P2" t="str">
        <x:v>Taxa</x:v>
      </x:c>
      <x:c r="R2" t="str">
        <x:v>Touro</x:v>
      </x:c>
      <x:c r="S2" t="str">
        <x:v>Taxa</x:v>
      </x:c>
      <x:c r="U2" t="str">
        <x:v>Touro</x:v>
      </x:c>
      <x:c r="V2" t="str">
        <x:v>Taxa</x:v>
      </x:c>
    </x:row>
    <x:row r="3">
      <x:c r="A3" s="73"/>
      <x:c r="B3" s="73"/>
      <x:c r="C3" s="73"/>
      <x:c r="D3" s="73"/>
      <x:c r="E3" s="73"/>
      <x:c r="F3" s="73"/>
      <x:c r="G3" s="73"/>
      <x:c r="H3" s="73"/>
      <x:c r="I3" s="73"/>
      <x:c r="J3" s="73"/>
      <x:c r="K3" s="73"/>
      <x:c r="L3" s="73"/>
      <x:c r="M3" s="73"/>
      <x:c r="N3" s="73"/>
      <x:c r="O3" t="str">
        <x:v>IATF</x:v>
      </x:c>
      <x:c r="P3" s="104" t="n">
        <x:f>'Resumo'!D6</x:f>
        <x:v>0.425531914893617</x:v>
      </x:c>
      <x:c r="R3" t="str">
        <x:v>921 BAMA</x:v>
      </x:c>
      <x:c r="S3" s="104" t="n">
        <x:f>'Resumo'!D19</x:f>
        <x:v>0.7777777777777778</x:v>
      </x:c>
      <x:c r="U3" t="str">
        <x:v>TATICO SN</x:v>
      </x:c>
      <x:c r="V3" s="104" t="n">
        <x:f>'Resumo'!I19</x:f>
        <x:v>1</x:v>
      </x:c>
    </x:row>
    <x:row r="4">
      <x:c r="A4" s="74" t="str">
        <x:v>Taxa Total por Tecnica</x:v>
      </x:c>
      <x:c r="B4" s="74"/>
      <x:c r="C4" s="74"/>
      <x:c r="D4" s="74"/>
      <x:c r="E4" s="74"/>
      <x:c r="F4" s="74"/>
      <x:c r="G4" s="75" t="str">
        <x:v>Taxa por Rodada</x:v>
      </x:c>
      <x:c r="H4" s="75"/>
      <x:c r="I4" s="75"/>
      <x:c r="J4" s="75"/>
      <x:c r="K4" s="75"/>
      <x:c r="L4" s="75"/>
      <x:c r="M4" s="75"/>
      <x:c r="N4" s="75"/>
      <x:c r="O4" t="str">
        <x:v>TETF</x:v>
      </x:c>
      <x:c r="P4" s="104" t="n">
        <x:f>'Resumo'!H6</x:f>
        <x:v>0.34782608695652173</x:v>
      </x:c>
      <x:c r="R4" t="str">
        <x:v>MALAIO</x:v>
      </x:c>
      <x:c r="S4" s="104" t="n">
        <x:f>'Resumo'!D20</x:f>
        <x:v>0.75</x:v>
      </x:c>
      <x:c r="U4" t="str">
        <x:v>CAMAROTE</x:v>
      </x:c>
      <x:c r="V4" s="104" t="n">
        <x:f>'Resumo'!I20</x:f>
        <x:v>0.5</x:v>
      </x:c>
    </x:row>
    <x:row r="5">
      <x:c r="A5" s="73"/>
      <x:c r="B5" s="73"/>
      <x:c r="C5" s="73"/>
      <x:c r="D5" s="73"/>
      <x:c r="E5" s="73"/>
      <x:c r="F5" s="73"/>
      <x:c r="G5" s="73"/>
      <x:c r="H5" s="73"/>
      <x:c r="I5" s="73"/>
      <x:c r="J5" s="73"/>
      <x:c r="K5" s="73"/>
      <x:c r="L5" s="73"/>
      <x:c r="M5" s="73"/>
      <x:c r="N5" s="73"/>
      <x:c r="R5" t="str">
        <x:v>WANTUCK</x:v>
      </x:c>
      <x:c r="S5" s="104" t="n">
        <x:f>'Resumo'!D21</x:f>
        <x:v>0.6666666666666666</x:v>
      </x:c>
      <x:c r="U5" t="str">
        <x:v>PARATUDO</x:v>
      </x:c>
      <x:c r="V5" s="104" t="n">
        <x:f>'Resumo'!I21</x:f>
        <x:v>0.5</x:v>
      </x:c>
    </x:row>
    <x:row r="6">
      <x:c r="A6" s="73"/>
      <x:c r="B6" s="73"/>
      <x:c r="C6" s="73"/>
      <x:c r="D6" s="73"/>
      <x:c r="E6" s="73"/>
      <x:c r="F6" s="73"/>
      <x:c r="G6" s="73"/>
      <x:c r="H6" s="73"/>
      <x:c r="I6" s="73"/>
      <x:c r="J6" s="73"/>
      <x:c r="K6" s="73"/>
      <x:c r="L6" s="73"/>
      <x:c r="M6" s="73"/>
      <x:c r="N6" s="73"/>
      <x:c r="R6" t="str">
        <x:v>FENOL</x:v>
      </x:c>
      <x:c r="S6" s="104" t="n">
        <x:f>'Resumo'!D22</x:f>
        <x:v>0.6</x:v>
      </x:c>
      <x:c r="U6" t="str">
        <x:v>XARP COL</x:v>
      </x:c>
      <x:c r="V6" s="104" t="n">
        <x:f>'Resumo'!I22</x:f>
        <x:v>0.3157894736842105</x:v>
      </x:c>
    </x:row>
    <x:row r="7">
      <x:c r="A7" s="73"/>
      <x:c r="B7" s="73"/>
      <x:c r="C7" s="73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t="str">
        <x:v>Rodada</x:v>
      </x:c>
      <x:c r="P7" t="str">
        <x:v>Taxa</x:v>
      </x:c>
      <x:c r="R7" t="str">
        <x:v>DETROIT</x:v>
      </x:c>
      <x:c r="S7" s="104" t="n">
        <x:f>'Resumo'!D23</x:f>
        <x:v>0.5555555555555556</x:v>
      </x:c>
      <x:c r="U7" t="str">
        <x:v>921 BAMA</x:v>
      </x:c>
      <x:c r="V7" s="104" t="n">
        <x:f>'Resumo'!I23</x:f>
        <x:v>0.3</x:v>
      </x:c>
    </x:row>
    <x:row r="8">
      <x:c r="A8" s="73"/>
      <x:c r="B8" s="73"/>
      <x:c r="C8" s="73"/>
      <x:c r="D8" s="73"/>
      <x:c r="E8" s="73"/>
      <x:c r="F8" s="73"/>
      <x:c r="G8" s="73"/>
      <x:c r="H8" s="73"/>
      <x:c r="I8" s="73"/>
      <x:c r="J8" s="73"/>
      <x:c r="K8" s="73"/>
      <x:c r="L8" s="73"/>
      <x:c r="M8" s="73"/>
      <x:c r="N8" s="73"/>
      <x:c r="O8" t="str">
        <x:v>1a IATF</x:v>
      </x:c>
      <x:c r="P8" s="104" t="n">
        <x:f>'Resumo'!D11</x:f>
        <x:v>0.6097560975609756</x:v>
      </x:c>
      <x:c r="R8" t="str">
        <x:v>PARAISO</x:v>
      </x:c>
      <x:c r="S8" s="104" t="n">
        <x:f>'Resumo'!D24</x:f>
        <x:v>0.5555555555555556</x:v>
      </x:c>
      <x:c r="U8" t="str">
        <x:v>8108</x:v>
      </x:c>
      <x:c r="V8" s="104" t="n">
        <x:f>'Resumo'!I24</x:f>
        <x:v>0.2222222222222222</x:v>
      </x:c>
    </x:row>
    <x:row r="9">
      <x:c r="A9" s="73"/>
      <x:c r="B9" s="73"/>
      <x:c r="C9" s="73"/>
      <x:c r="D9" s="73"/>
      <x:c r="E9" s="73"/>
      <x:c r="F9" s="73"/>
      <x:c r="G9" s="73"/>
      <x:c r="H9" s="73"/>
      <x:c r="I9" s="73"/>
      <x:c r="J9" s="73"/>
      <x:c r="K9" s="73"/>
      <x:c r="L9" s="73"/>
      <x:c r="M9" s="73"/>
      <x:c r="N9" s="73"/>
      <x:c r="O9" t="str">
        <x:v>2a IATF</x:v>
      </x:c>
      <x:c r="P9" s="104" t="n">
        <x:f>'Resumo'!D12</x:f>
        <x:v>0.3488372093023256</x:v>
      </x:c>
    </x:row>
    <x:row r="10">
      <x:c r="A10" s="73"/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t="str">
        <x:v>3a IATF</x:v>
      </x:c>
      <x:c r="P10" s="104" t="n">
        <x:f>'Resumo'!D13</x:f>
        <x:v>0.47619047619047616</x:v>
      </x:c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t="str">
        <x:v>4a IATF</x:v>
      </x:c>
      <x:c r="P11" s="104" t="n">
        <x:f>'Resumo'!D14</x:f>
        <x:v>0.3333333333333333</x:v>
      </x:c>
    </x:row>
    <x:row r="12">
      <x:c r="A12" s="73"/>
      <x:c r="B12" s="73"/>
      <x:c r="C12" s="73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t="str">
        <x:v>5a IATF</x:v>
      </x:c>
      <x:c r="P12" s="104" t="n">
        <x:f>'Resumo'!D15</x:f>
        <x:v>0.25</x:v>
      </x:c>
    </x:row>
    <x:row r="13">
      <x:c r="A13" s="73"/>
      <x:c r="B13" s="73"/>
      <x:c r="C13" s="73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t="str">
        <x:v>6a IATF</x:v>
      </x:c>
      <x:c r="P13" s="104" t="n">
        <x:f>'Resumo'!D16</x:f>
        <x:v>0.36</x:v>
      </x:c>
    </x:row>
    <x:row r="14">
      <x:c r="A14" s="73"/>
      <x:c r="B14" s="73"/>
      <x:c r="C14" s="73"/>
      <x:c r="D14" s="73"/>
      <x:c r="E14" s="73"/>
      <x:c r="F14" s="73"/>
      <x:c r="G14" s="73"/>
      <x:c r="H14" s="73"/>
      <x:c r="I14" s="73"/>
      <x:c r="J14" s="73"/>
      <x:c r="K14" s="73"/>
      <x:c r="L14" s="73"/>
      <x:c r="M14" s="73"/>
      <x:c r="N14" s="73"/>
      <x:c r="O14" t="str">
        <x:v>1a TETF Fresco</x:v>
      </x:c>
      <x:c r="P14" s="104" t="n">
        <x:f>'Resumo'!I11</x:f>
        <x:v>0.625</x:v>
      </x:c>
    </x:row>
    <x:row r="15">
      <x:c r="A15" s="73"/>
      <x:c r="B15" s="73"/>
      <x:c r="C15" s="73"/>
      <x:c r="D15" s="73"/>
      <x:c r="E15" s="73"/>
      <x:c r="F15" s="73"/>
      <x:c r="G15" s="73"/>
      <x:c r="H15" s="73"/>
      <x:c r="I15" s="73"/>
      <x:c r="J15" s="73"/>
      <x:c r="K15" s="73"/>
      <x:c r="L15" s="73"/>
      <x:c r="M15" s="73"/>
      <x:c r="N15" s="73"/>
      <x:c r="O15" t="str">
        <x:v>2a TETF DT</x:v>
      </x:c>
      <x:c r="P15" s="104" t="n">
        <x:f>'Resumo'!I12</x:f>
        <x:v>0.18181818181818182</x:v>
      </x:c>
    </x:row>
    <x:row r="16">
      <x:c r="A16" s="73"/>
      <x:c r="B16" s="73"/>
      <x:c r="C16" s="73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t="str">
        <x:v>3a TETF Fresco</x:v>
      </x:c>
      <x:c r="P16" s="104" t="n">
        <x:f>'Resumo'!I13</x:f>
        <x:v>0.4375</x:v>
      </x:c>
    </x:row>
    <x:row r="17">
      <x:c r="A17" s="73"/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</x:row>
    <x:row r="18">
      <x:c r="A18" s="74" t="str">
        <x:v>Ranking de Touros - IATF</x:v>
      </x:c>
      <x:c r="B18" s="74"/>
      <x:c r="C18" s="74"/>
      <x:c r="D18" s="74"/>
      <x:c r="E18" s="74"/>
      <x:c r="F18" s="74"/>
      <x:c r="G18" s="75" t="str">
        <x:v>Ranking de Touros - TETF</x:v>
      </x:c>
      <x:c r="H18" s="75"/>
      <x:c r="I18" s="75"/>
      <x:c r="J18" s="75"/>
      <x:c r="K18" s="75"/>
      <x:c r="L18" s="75"/>
      <x:c r="M18" s="75"/>
      <x:c r="N18" s="75"/>
    </x:row>
    <x:row r="19">
      <x:c r="A19" s="73"/>
      <x:c r="B19" s="73"/>
      <x:c r="C19" s="73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</x:row>
    <x:row r="20">
      <x:c r="A20" s="73"/>
      <x:c r="B20" s="73"/>
      <x:c r="C20" s="73"/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</x:row>
    <x:row r="21">
      <x:c r="A21" s="73"/>
      <x:c r="B21" s="73"/>
      <x:c r="C21" s="73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</x:row>
    <x:row r="22">
      <x:c r="A22" s="73"/>
      <x:c r="B22" s="73"/>
      <x:c r="C22" s="73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</x:row>
    <x:row r="23">
      <x:c r="A23" s="73"/>
      <x:c r="B23" s="73"/>
      <x:c r="C23" s="73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</x:row>
    <x:row r="24">
      <x:c r="A24" s="73"/>
      <x:c r="B24" s="73"/>
      <x:c r="C24" s="73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</x:row>
    <x:row r="25">
      <x:c r="A25" s="73"/>
      <x:c r="B25" s="73"/>
      <x:c r="C25" s="73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</x:row>
    <x:row r="26">
      <x:c r="A26" s="73"/>
      <x:c r="B26" s="73"/>
      <x:c r="C26" s="73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</x:row>
    <x:row r="27">
      <x:c r="A27" s="73"/>
      <x:c r="B27" s="73"/>
      <x:c r="C27" s="73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</x:row>
    <x:row r="28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</x:row>
    <x:row r="29" ht="38" customHeight="1">
      <x:c r="A29" s="73"/>
      <x:c r="B29" s="73"/>
      <x:c r="C29" s="73"/>
      <x:c r="D29" s="73"/>
      <x:c r="E29" s="73"/>
      <x:c r="F29" s="73"/>
      <x:c r="G29" s="61" t="str">
        <x:v>Leitura recomendada: nesta base, todas as rodadas analisadas ja estao fechadas. No TETF, use o ranking junto com o volume de transferencias, porque algumas amostras ainda sao pequenas.</x:v>
      </x:c>
      <x:c r="H29" s="62"/>
      <x:c r="I29" s="62"/>
      <x:c r="J29" s="62"/>
      <x:c r="K29" s="62"/>
      <x:c r="L29" s="62"/>
      <x:c r="M29" s="62"/>
      <x:c r="N29" s="63"/>
    </x:row>
    <x:row r="30" ht="38" customHeight="1">
      <x:c r="A30" s="73"/>
      <x:c r="B30" s="73"/>
      <x:c r="C30" s="73"/>
      <x:c r="D30" s="73"/>
      <x:c r="E30" s="73"/>
      <x:c r="F30" s="73"/>
      <x:c r="G30" s="64"/>
      <x:c r="H30" s="65"/>
      <x:c r="I30" s="65"/>
      <x:c r="J30" s="65"/>
      <x:c r="K30" s="65"/>
      <x:c r="L30" s="65"/>
      <x:c r="M30" s="65"/>
      <x:c r="N30" s="66"/>
    </x:row>
    <x:row r="31" ht="38" customHeight="1">
      <x:c r="A31" s="73"/>
      <x:c r="B31" s="73"/>
      <x:c r="C31" s="73"/>
      <x:c r="D31" s="73"/>
      <x:c r="E31" s="73"/>
      <x:c r="F31" s="73"/>
      <x:c r="G31" s="67"/>
      <x:c r="H31" s="68"/>
      <x:c r="I31" s="68"/>
      <x:c r="J31" s="68"/>
      <x:c r="K31" s="68"/>
      <x:c r="L31" s="68"/>
      <x:c r="M31" s="68"/>
      <x:c r="N31" s="69"/>
    </x:row>
    <x:row r="32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</x:row>
  </x:sheetData>
  <x:mergeCells>
    <x:mergeCell ref="A1:N1"/>
    <x:mergeCell ref="A2:N2"/>
    <x:mergeCell ref="A4:F4"/>
    <x:mergeCell ref="G4:N4"/>
    <x:mergeCell ref="A18:F18"/>
    <x:mergeCell ref="G18:N18"/>
    <x:mergeCell ref="G29:N31"/>
  </x:mergeCells>
  <x:pageMargins left="0.7" right="0.7" top="0.75" bottom="0.75" header="0.3" footer="0.3"/>
  <x:drawing xmlns:r="http://schemas.openxmlformats.org/officeDocument/2006/relationships" r:id="R26dea73132ee4aaa"/>
</x:worksheet>
</file>