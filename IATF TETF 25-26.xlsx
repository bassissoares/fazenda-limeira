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75912c3b1c227e/Desktop/"/>
    </mc:Choice>
  </mc:AlternateContent>
  <xr:revisionPtr revIDLastSave="101" documentId="13_ncr:1_{99AB4144-DC95-4210-9B2A-FD134B7AFA37}" xr6:coauthVersionLast="47" xr6:coauthVersionMax="47" xr10:uidLastSave="{EB97C4C7-2FDF-4628-95BA-A583E34E1669}"/>
  <bookViews>
    <workbookView xWindow="-108" yWindow="-108" windowWidth="23256" windowHeight="12456" firstSheet="1" activeTab="4" xr2:uid="{D85830D6-D2B6-4910-BFE4-195167FFE9B9}"/>
  </bookViews>
  <sheets>
    <sheet name="1º IATF" sheetId="1" r:id="rId1"/>
    <sheet name="2º IATF" sheetId="2" r:id="rId2"/>
    <sheet name="3º IATF" sheetId="4" r:id="rId3"/>
    <sheet name="4º IATF" sheetId="6" r:id="rId4"/>
    <sheet name="5º IATF" sheetId="7" r:id="rId5"/>
    <sheet name="6º IATF" sheetId="9" r:id="rId6"/>
    <sheet name="2º TETF DT" sheetId="5" r:id="rId7"/>
    <sheet name="3º TETF FRESCO" sheetId="10" r:id="rId8"/>
    <sheet name="1º TETF FRESCO" sheetId="3" r:id="rId9"/>
  </sheets>
  <definedNames>
    <definedName name="_xlnm._FilterDatabase" localSheetId="0" hidden="1">'1º IATF'!$A$1:$F$48</definedName>
    <definedName name="_xlnm._FilterDatabase" localSheetId="1" hidden="1">'2º IATF'!$A$1:$H$48</definedName>
    <definedName name="_xlnm._FilterDatabase" localSheetId="2" hidden="1">'3º IATF'!$A$1:$H$63</definedName>
    <definedName name="_xlnm._FilterDatabase" localSheetId="3" hidden="1">'4º IATF'!$A$1:$H$25</definedName>
    <definedName name="_xlnm._FilterDatabase" localSheetId="4" hidden="1">'5º IATF'!$A$1:$H$18</definedName>
    <definedName name="_xlnm._FilterDatabase" localSheetId="5" hidden="1">'6º IATF'!$A$1:$H$19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9" l="1"/>
  <c r="D27" i="10"/>
  <c r="D26" i="10"/>
  <c r="D40" i="9"/>
  <c r="C32" i="5" l="1"/>
  <c r="D44" i="9"/>
  <c r="D43" i="9"/>
  <c r="D41" i="9"/>
  <c r="D36" i="9"/>
  <c r="D38" i="9"/>
  <c r="B51" i="9" l="1"/>
  <c r="D47" i="9"/>
  <c r="D37" i="9"/>
  <c r="D42" i="9"/>
  <c r="D33" i="9"/>
  <c r="C19" i="7"/>
  <c r="D50" i="9"/>
  <c r="D49" i="9"/>
  <c r="D45" i="9"/>
  <c r="D46" i="9"/>
  <c r="D48" i="9"/>
  <c r="D39" i="9"/>
  <c r="D32" i="9"/>
  <c r="D27" i="7"/>
  <c r="B40" i="6"/>
  <c r="D25" i="6"/>
  <c r="D28" i="6"/>
  <c r="D29" i="6"/>
  <c r="C32" i="7"/>
  <c r="B32" i="7"/>
  <c r="D31" i="7"/>
  <c r="D30" i="7"/>
  <c r="D29" i="7"/>
  <c r="D28" i="7"/>
  <c r="D26" i="7"/>
  <c r="D25" i="7"/>
  <c r="D24" i="7"/>
  <c r="D23" i="7"/>
  <c r="D22" i="7"/>
  <c r="B16" i="3"/>
  <c r="C31" i="5"/>
  <c r="C30" i="5"/>
  <c r="C63" i="4"/>
  <c r="D62" i="4"/>
  <c r="D61" i="4"/>
  <c r="B63" i="4"/>
  <c r="D34" i="6"/>
  <c r="D31" i="6"/>
  <c r="D51" i="9" l="1"/>
  <c r="D32" i="7"/>
  <c r="D63" i="4"/>
  <c r="C40" i="6"/>
  <c r="D39" i="6"/>
  <c r="D38" i="6"/>
  <c r="D37" i="6"/>
  <c r="D36" i="6"/>
  <c r="D35" i="6"/>
  <c r="D33" i="6"/>
  <c r="D32" i="6"/>
  <c r="D30" i="6"/>
  <c r="D40" i="6" l="1"/>
  <c r="C77" i="2"/>
  <c r="B77" i="2"/>
  <c r="D76" i="2"/>
  <c r="D75" i="2"/>
  <c r="D87" i="4"/>
  <c r="D85" i="4"/>
  <c r="D81" i="4"/>
  <c r="D80" i="4"/>
  <c r="D77" i="2" l="1"/>
  <c r="C88" i="4"/>
  <c r="B88" i="4"/>
  <c r="D86" i="4"/>
  <c r="D84" i="4"/>
  <c r="D83" i="4"/>
  <c r="D82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51" i="2"/>
  <c r="C69" i="1"/>
  <c r="D88" i="4" l="1"/>
  <c r="C73" i="2"/>
  <c r="B73" i="2"/>
  <c r="D73" i="2" l="1"/>
  <c r="B48" i="2"/>
  <c r="D54" i="1" l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53" i="1"/>
  <c r="B48" i="1"/>
  <c r="C48" i="1"/>
  <c r="D47" i="1"/>
  <c r="D46" i="1"/>
  <c r="D48" i="1" l="1"/>
  <c r="B15" i="3"/>
  <c r="B13" i="3"/>
  <c r="B69" i="1"/>
  <c r="D69" i="1" s="1"/>
</calcChain>
</file>

<file path=xl/sharedStrings.xml><?xml version="1.0" encoding="utf-8"?>
<sst xmlns="http://schemas.openxmlformats.org/spreadsheetml/2006/main" count="1827" uniqueCount="433">
  <si>
    <t>BRINCO</t>
  </si>
  <si>
    <t>RGD</t>
  </si>
  <si>
    <t>BOTIJÃO</t>
  </si>
  <si>
    <t>DG</t>
  </si>
  <si>
    <t>BEZERRO</t>
  </si>
  <si>
    <t>1789M</t>
  </si>
  <si>
    <t>1795F</t>
  </si>
  <si>
    <t>1785F</t>
  </si>
  <si>
    <t>1782F</t>
  </si>
  <si>
    <t>1805F</t>
  </si>
  <si>
    <t>1786F</t>
  </si>
  <si>
    <t>1806M</t>
  </si>
  <si>
    <t>1803F</t>
  </si>
  <si>
    <t>1788F</t>
  </si>
  <si>
    <t>1783M</t>
  </si>
  <si>
    <t>1787M</t>
  </si>
  <si>
    <t>1799M</t>
  </si>
  <si>
    <t>1800M</t>
  </si>
  <si>
    <t>1801F</t>
  </si>
  <si>
    <t>1802M</t>
  </si>
  <si>
    <t>LMRZ20</t>
  </si>
  <si>
    <t>LCF993</t>
  </si>
  <si>
    <t>WYM1412</t>
  </si>
  <si>
    <t>COLM6431</t>
  </si>
  <si>
    <t>EPCF5478</t>
  </si>
  <si>
    <t>EPCO583</t>
  </si>
  <si>
    <t>EPCO825</t>
  </si>
  <si>
    <t>EPCO824</t>
  </si>
  <si>
    <t>EPCF5366</t>
  </si>
  <si>
    <t>EPCO893</t>
  </si>
  <si>
    <t>EPCO736</t>
  </si>
  <si>
    <t>EPCF5546</t>
  </si>
  <si>
    <t>EPCO760</t>
  </si>
  <si>
    <t>EPCF5732</t>
  </si>
  <si>
    <t>FMSF1672</t>
  </si>
  <si>
    <t>FMSF1843</t>
  </si>
  <si>
    <t>NJMP10550</t>
  </si>
  <si>
    <t>LMRZ118</t>
  </si>
  <si>
    <t>LMRZ121</t>
  </si>
  <si>
    <t>LMRZ123</t>
  </si>
  <si>
    <t>LMRZ127</t>
  </si>
  <si>
    <t>LMRZ128</t>
  </si>
  <si>
    <t>LMRZ146</t>
  </si>
  <si>
    <t>LMRZ147</t>
  </si>
  <si>
    <t>BRUTÃO ARF</t>
  </si>
  <si>
    <t>DETROIT</t>
  </si>
  <si>
    <t>1304</t>
  </si>
  <si>
    <t>1308</t>
  </si>
  <si>
    <t>LMRZ7</t>
  </si>
  <si>
    <t xml:space="preserve">LMRZ11 </t>
  </si>
  <si>
    <t>FMSF1400</t>
  </si>
  <si>
    <t>EAOB3727</t>
  </si>
  <si>
    <t>LMRZ105</t>
  </si>
  <si>
    <t>JAMBU</t>
  </si>
  <si>
    <t>LMRH39</t>
  </si>
  <si>
    <t>LMRH40</t>
  </si>
  <si>
    <t>LMRH41</t>
  </si>
  <si>
    <t>CNS12225</t>
  </si>
  <si>
    <t>CNS12217</t>
  </si>
  <si>
    <t>1784M</t>
  </si>
  <si>
    <t>1790M</t>
  </si>
  <si>
    <t>1791F</t>
  </si>
  <si>
    <t>1793F</t>
  </si>
  <si>
    <t>1681F</t>
  </si>
  <si>
    <t>CNS12280</t>
  </si>
  <si>
    <t>ODANA</t>
  </si>
  <si>
    <t>DIOXIDE</t>
  </si>
  <si>
    <t>FENOL</t>
  </si>
  <si>
    <t>ESPIÃO</t>
  </si>
  <si>
    <t>LMRH53</t>
  </si>
  <si>
    <t>LMRA12</t>
  </si>
  <si>
    <t>LMRH54</t>
  </si>
  <si>
    <t>GUZERÁ</t>
  </si>
  <si>
    <t>ROLEX</t>
  </si>
  <si>
    <t>MAGO</t>
  </si>
  <si>
    <t>921 BAMA</t>
  </si>
  <si>
    <t>VELEGADO</t>
  </si>
  <si>
    <t>MALAIO</t>
  </si>
  <si>
    <t>PARAISO</t>
  </si>
  <si>
    <t>HACKER</t>
  </si>
  <si>
    <t>HANCOCK</t>
  </si>
  <si>
    <t>TOTAL</t>
  </si>
  <si>
    <t>2 B2</t>
  </si>
  <si>
    <t>6 B1</t>
  </si>
  <si>
    <t>1 B2</t>
  </si>
  <si>
    <t>4 B1</t>
  </si>
  <si>
    <t>5 B2</t>
  </si>
  <si>
    <t>FAROESTE</t>
  </si>
  <si>
    <t>TOURO</t>
  </si>
  <si>
    <t>DOSES</t>
  </si>
  <si>
    <t>334</t>
  </si>
  <si>
    <t>766</t>
  </si>
  <si>
    <t>1123</t>
  </si>
  <si>
    <t>1152</t>
  </si>
  <si>
    <t>DATA TE</t>
  </si>
  <si>
    <t>ACASALAMENTO</t>
  </si>
  <si>
    <t>RECEPTORA</t>
  </si>
  <si>
    <t>PREVISÃO PARTO</t>
  </si>
  <si>
    <t>DT NASC</t>
  </si>
  <si>
    <t>RGN</t>
  </si>
  <si>
    <t>RZE63565</t>
  </si>
  <si>
    <t>RZE19600</t>
  </si>
  <si>
    <t>RZE71754</t>
  </si>
  <si>
    <t>RZE71757</t>
  </si>
  <si>
    <t>015</t>
  </si>
  <si>
    <t>0091</t>
  </si>
  <si>
    <t>769</t>
  </si>
  <si>
    <t>293</t>
  </si>
  <si>
    <t>RZE55254</t>
  </si>
  <si>
    <t>RZE19602</t>
  </si>
  <si>
    <t>CNSJ1963</t>
  </si>
  <si>
    <t>LMRH49</t>
  </si>
  <si>
    <t>LMRH51</t>
  </si>
  <si>
    <t>LMRH60</t>
  </si>
  <si>
    <t>LMRA14</t>
  </si>
  <si>
    <t>LMRH61</t>
  </si>
  <si>
    <t>LMRH69</t>
  </si>
  <si>
    <t>MLML2151</t>
  </si>
  <si>
    <t>2B2</t>
  </si>
  <si>
    <t>LMRH50</t>
  </si>
  <si>
    <t>1809M</t>
  </si>
  <si>
    <t>PARATUDO</t>
  </si>
  <si>
    <t>1468</t>
  </si>
  <si>
    <t>LMRZ44</t>
  </si>
  <si>
    <t>1506</t>
  </si>
  <si>
    <t>COL26942</t>
  </si>
  <si>
    <t>1814M</t>
  </si>
  <si>
    <t>1813M</t>
  </si>
  <si>
    <t>EPCF5511</t>
  </si>
  <si>
    <t>EPCO832</t>
  </si>
  <si>
    <t>1817M</t>
  </si>
  <si>
    <t>1812M</t>
  </si>
  <si>
    <t>EPCO943</t>
  </si>
  <si>
    <t>1808M</t>
  </si>
  <si>
    <t>FMSF1047</t>
  </si>
  <si>
    <t>1816F</t>
  </si>
  <si>
    <t>COLM6212</t>
  </si>
  <si>
    <t>1818F</t>
  </si>
  <si>
    <t>IATF 06/11/2025</t>
  </si>
  <si>
    <t>LCF993 X 8108</t>
  </si>
  <si>
    <t>FMSF1672 X XARP</t>
  </si>
  <si>
    <t>MLML2151 X 8108</t>
  </si>
  <si>
    <t>MLML2151 X XARP</t>
  </si>
  <si>
    <t>LCF993 X XARP</t>
  </si>
  <si>
    <t>TX DESF</t>
  </si>
  <si>
    <t>%</t>
  </si>
  <si>
    <t>P+</t>
  </si>
  <si>
    <t>%P+</t>
  </si>
  <si>
    <t>6 B2</t>
  </si>
  <si>
    <t>1649</t>
  </si>
  <si>
    <t>EPCO1312</t>
  </si>
  <si>
    <t>D-0 1/12</t>
  </si>
  <si>
    <t>D-8 9/12</t>
  </si>
  <si>
    <t>IATF 11/12</t>
  </si>
  <si>
    <t>1815M</t>
  </si>
  <si>
    <t>1807F</t>
  </si>
  <si>
    <t>1811F</t>
  </si>
  <si>
    <t xml:space="preserve"> DG 09/12/2025</t>
  </si>
  <si>
    <t>V</t>
  </si>
  <si>
    <t>V CL PROT</t>
  </si>
  <si>
    <t>V FOL PROT</t>
  </si>
  <si>
    <t>V PROT</t>
  </si>
  <si>
    <t>V ANESTRO</t>
  </si>
  <si>
    <t>V CIO PROT</t>
  </si>
  <si>
    <t>ANESTRO</t>
  </si>
  <si>
    <t>CIO PROT</t>
  </si>
  <si>
    <t>FOL + FRACA</t>
  </si>
  <si>
    <t>FOL PROT</t>
  </si>
  <si>
    <t>1564</t>
  </si>
  <si>
    <t>LMRZ107</t>
  </si>
  <si>
    <t>1565</t>
  </si>
  <si>
    <t>LMRZ108</t>
  </si>
  <si>
    <t>11 GAROTO</t>
  </si>
  <si>
    <t>REM MITO</t>
  </si>
  <si>
    <t>1596</t>
  </si>
  <si>
    <t>LMRZ130</t>
  </si>
  <si>
    <t>1600</t>
  </si>
  <si>
    <t>LMRZ135</t>
  </si>
  <si>
    <t>1616</t>
  </si>
  <si>
    <t>LMRZ148</t>
  </si>
  <si>
    <t>1623</t>
  </si>
  <si>
    <t>LMRZ152</t>
  </si>
  <si>
    <t>1626</t>
  </si>
  <si>
    <t>LMRZ155</t>
  </si>
  <si>
    <t>1628</t>
  </si>
  <si>
    <t>LMRZ157</t>
  </si>
  <si>
    <t>1639</t>
  </si>
  <si>
    <t>LMRZ165</t>
  </si>
  <si>
    <t>1745</t>
  </si>
  <si>
    <t>LMRZ180</t>
  </si>
  <si>
    <t>1752</t>
  </si>
  <si>
    <t>LMRZ186</t>
  </si>
  <si>
    <t>FAROL FVC</t>
  </si>
  <si>
    <t>CL PROT</t>
  </si>
  <si>
    <t>PROT</t>
  </si>
  <si>
    <t>DARWIN</t>
  </si>
  <si>
    <t>3 B2</t>
  </si>
  <si>
    <t>1796M</t>
  </si>
  <si>
    <t>NELORE</t>
  </si>
  <si>
    <t>TGAN5</t>
  </si>
  <si>
    <t>JPFC447</t>
  </si>
  <si>
    <t>LEAL</t>
  </si>
  <si>
    <t xml:space="preserve">TOTAL </t>
  </si>
  <si>
    <t>GERAL</t>
  </si>
  <si>
    <t>1792F</t>
  </si>
  <si>
    <t>BRUTAO ARF</t>
  </si>
  <si>
    <t>HANKOCK</t>
  </si>
  <si>
    <t>ACNN777</t>
  </si>
  <si>
    <t>1711</t>
  </si>
  <si>
    <t>1712</t>
  </si>
  <si>
    <t>1713</t>
  </si>
  <si>
    <t>FMSF1430</t>
  </si>
  <si>
    <t>NATIVO</t>
  </si>
  <si>
    <t>FMSF1044</t>
  </si>
  <si>
    <t>FMSF1252</t>
  </si>
  <si>
    <t>WANTUCK</t>
  </si>
  <si>
    <t>3 B1</t>
  </si>
  <si>
    <t>5 B1</t>
  </si>
  <si>
    <t>FGPA827</t>
  </si>
  <si>
    <t>1824M</t>
  </si>
  <si>
    <t>1825F</t>
  </si>
  <si>
    <t>1822M</t>
  </si>
  <si>
    <t>1821F</t>
  </si>
  <si>
    <t xml:space="preserve"> DG </t>
  </si>
  <si>
    <t>RZE19587</t>
  </si>
  <si>
    <t>RZF68022</t>
  </si>
  <si>
    <t>RZG7924</t>
  </si>
  <si>
    <t>OK</t>
  </si>
  <si>
    <t>PERDEU</t>
  </si>
  <si>
    <t>FMSF1289</t>
  </si>
  <si>
    <t>CIO NATURAL</t>
  </si>
  <si>
    <t xml:space="preserve">XARP </t>
  </si>
  <si>
    <t>XARP COL</t>
  </si>
  <si>
    <t>IATF ESTAGIÁRIA</t>
  </si>
  <si>
    <t xml:space="preserve">DOSES </t>
  </si>
  <si>
    <t>LMRZ1</t>
  </si>
  <si>
    <t>1 B1</t>
  </si>
  <si>
    <t>MOGNO</t>
  </si>
  <si>
    <t>1464</t>
  </si>
  <si>
    <t>LMRZ40</t>
  </si>
  <si>
    <t>1465</t>
  </si>
  <si>
    <t>LMRZ41</t>
  </si>
  <si>
    <t>URANO TB</t>
  </si>
  <si>
    <t>1500</t>
  </si>
  <si>
    <t>VIS3602</t>
  </si>
  <si>
    <t>1329</t>
  </si>
  <si>
    <t>LMRZ24</t>
  </si>
  <si>
    <t>RETOQUE</t>
  </si>
  <si>
    <t>V SINCROGEST</t>
  </si>
  <si>
    <t>D-0 12/01/26</t>
  </si>
  <si>
    <t>D-8 20/01/26</t>
  </si>
  <si>
    <t>IATF 22/01/26</t>
  </si>
  <si>
    <t>LIME BRUXO</t>
  </si>
  <si>
    <t>1495</t>
  </si>
  <si>
    <t>LMRZ76</t>
  </si>
  <si>
    <t>1469</t>
  </si>
  <si>
    <t>1513</t>
  </si>
  <si>
    <t>1516</t>
  </si>
  <si>
    <t>1518</t>
  </si>
  <si>
    <t>1484</t>
  </si>
  <si>
    <t>LMRZ50</t>
  </si>
  <si>
    <t>LMRZ65</t>
  </si>
  <si>
    <t>LMRZ86</t>
  </si>
  <si>
    <t>LMRZ89</t>
  </si>
  <si>
    <t>LMRZ91</t>
  </si>
  <si>
    <t>LMRZ113</t>
  </si>
  <si>
    <t>LMRZ124</t>
  </si>
  <si>
    <t>LMRZ129</t>
  </si>
  <si>
    <t>LMRZ185</t>
  </si>
  <si>
    <t>LMRZ190</t>
  </si>
  <si>
    <t>TGAN14</t>
  </si>
  <si>
    <t>TGAN15</t>
  </si>
  <si>
    <t>URANO T BRAVA</t>
  </si>
  <si>
    <t>1508</t>
  </si>
  <si>
    <t>LMRZ81</t>
  </si>
  <si>
    <t>FMSF1269</t>
  </si>
  <si>
    <t>X</t>
  </si>
  <si>
    <t>D-0 20/02/26</t>
  </si>
  <si>
    <t>D-8 28/02/26</t>
  </si>
  <si>
    <t>IATF 02/03/26</t>
  </si>
  <si>
    <t>203</t>
  </si>
  <si>
    <t>224</t>
  </si>
  <si>
    <t>258</t>
  </si>
  <si>
    <t>311</t>
  </si>
  <si>
    <t>550</t>
  </si>
  <si>
    <t>743</t>
  </si>
  <si>
    <t>780</t>
  </si>
  <si>
    <t>RZF68021</t>
  </si>
  <si>
    <t>RZE19584</t>
  </si>
  <si>
    <t>RZE63563</t>
  </si>
  <si>
    <t>RZE55253</t>
  </si>
  <si>
    <t>RZE19586</t>
  </si>
  <si>
    <t>RZE19585</t>
  </si>
  <si>
    <t>RZF77058</t>
  </si>
  <si>
    <t>RZF77059</t>
  </si>
  <si>
    <t>RZF77060</t>
  </si>
  <si>
    <t>RZE55264</t>
  </si>
  <si>
    <t>RZF17507</t>
  </si>
  <si>
    <t>RZE19594</t>
  </si>
  <si>
    <t>RZE19603</t>
  </si>
  <si>
    <t>RZE71755</t>
  </si>
  <si>
    <t>COL29530</t>
  </si>
  <si>
    <t>XARP</t>
  </si>
  <si>
    <t>2 B1</t>
  </si>
  <si>
    <t>ABSORVEU</t>
  </si>
  <si>
    <t>ARGOS</t>
  </si>
  <si>
    <t>HASHTAGS</t>
  </si>
  <si>
    <t>V CL CAV PROT</t>
  </si>
  <si>
    <t>V NÃO</t>
  </si>
  <si>
    <t>PRENHÊS</t>
  </si>
  <si>
    <t>PROTOC</t>
  </si>
  <si>
    <t>CL CAV PROT</t>
  </si>
  <si>
    <t>NÃO</t>
  </si>
  <si>
    <t>1301</t>
  </si>
  <si>
    <t>1714</t>
  </si>
  <si>
    <t>URUS COL</t>
  </si>
  <si>
    <t>FMSF1517</t>
  </si>
  <si>
    <t>FMSF1205</t>
  </si>
  <si>
    <t>LMRZ4</t>
  </si>
  <si>
    <t>HASSAN</t>
  </si>
  <si>
    <t>1837 M</t>
  </si>
  <si>
    <t>1840F</t>
  </si>
  <si>
    <t>1838F</t>
  </si>
  <si>
    <t>D-0 20/02/2026</t>
  </si>
  <si>
    <t>D-8 28/02/2026</t>
  </si>
  <si>
    <t>RZF17506</t>
  </si>
  <si>
    <t>1832F</t>
  </si>
  <si>
    <t>1843F</t>
  </si>
  <si>
    <t>1827F</t>
  </si>
  <si>
    <t>1836F</t>
  </si>
  <si>
    <t>1833M</t>
  </si>
  <si>
    <t>1842F</t>
  </si>
  <si>
    <t>1820F</t>
  </si>
  <si>
    <t>1844M</t>
  </si>
  <si>
    <t>1841F</t>
  </si>
  <si>
    <t>1819F</t>
  </si>
  <si>
    <t>1835M</t>
  </si>
  <si>
    <t>1839M</t>
  </si>
  <si>
    <t>1828M</t>
  </si>
  <si>
    <t>1829M</t>
  </si>
  <si>
    <t>1834M</t>
  </si>
  <si>
    <t>1831M</t>
  </si>
  <si>
    <t>PROTOCOLOS</t>
  </si>
  <si>
    <t>DESFRUTE</t>
  </si>
  <si>
    <t>TE 09/03/2026</t>
  </si>
  <si>
    <t>ARGOS SN</t>
  </si>
  <si>
    <t>8108 S</t>
  </si>
  <si>
    <t>591</t>
  </si>
  <si>
    <t>RZE19590</t>
  </si>
  <si>
    <t>RZE19591</t>
  </si>
  <si>
    <t>RZE55257</t>
  </si>
  <si>
    <t>30DD</t>
  </si>
  <si>
    <t>60DD</t>
  </si>
  <si>
    <t>GNRH</t>
  </si>
  <si>
    <t>EAOB3727 X XARP</t>
  </si>
  <si>
    <t>MAIS FRACA</t>
  </si>
  <si>
    <t>LMRZ189 X XARP</t>
  </si>
  <si>
    <t>LMRZ148 X XARP</t>
  </si>
  <si>
    <t>MAIS FRACA GNRH</t>
  </si>
  <si>
    <t>EAOB3727 X PARATUDO</t>
  </si>
  <si>
    <t>D-0 23/03/2026</t>
  </si>
  <si>
    <t>D-8 31/03/26</t>
  </si>
  <si>
    <t>IATF 02/04/26</t>
  </si>
  <si>
    <t>6B1</t>
  </si>
  <si>
    <t>TATICO SN</t>
  </si>
  <si>
    <t>ROMANO</t>
  </si>
  <si>
    <t>2B1</t>
  </si>
  <si>
    <t>V FRACA PROT</t>
  </si>
  <si>
    <t>CISTO OD PROT</t>
  </si>
  <si>
    <t>ANESTRO PROT</t>
  </si>
  <si>
    <t>ELETRON FHP</t>
  </si>
  <si>
    <t>ELETRON</t>
  </si>
  <si>
    <t>TATICO</t>
  </si>
  <si>
    <t>OBS</t>
  </si>
  <si>
    <t>DG 02/04/2026</t>
  </si>
  <si>
    <t xml:space="preserve"> </t>
  </si>
  <si>
    <t>FOL DOM MM</t>
  </si>
  <si>
    <t>-</t>
  </si>
  <si>
    <t>20 CISTO</t>
  </si>
  <si>
    <t>KODIAK</t>
  </si>
  <si>
    <t xml:space="preserve"> DG 02/05</t>
  </si>
  <si>
    <t>CAMAROTE</t>
  </si>
  <si>
    <t>ARABE</t>
  </si>
  <si>
    <t>ARABE JF</t>
  </si>
  <si>
    <t>FENOL S</t>
  </si>
  <si>
    <t>C3484</t>
  </si>
  <si>
    <t>C3475</t>
  </si>
  <si>
    <t>1351</t>
  </si>
  <si>
    <t>LMRZ36</t>
  </si>
  <si>
    <t>095</t>
  </si>
  <si>
    <t>RZF88240</t>
  </si>
  <si>
    <t>1851F</t>
  </si>
  <si>
    <t>DIPLOMATA</t>
  </si>
  <si>
    <t>V CLPROT</t>
  </si>
  <si>
    <t>1339</t>
  </si>
  <si>
    <t>LMRZ33</t>
  </si>
  <si>
    <t>D-0 04/05/26</t>
  </si>
  <si>
    <t>D-8 12/05/2026</t>
  </si>
  <si>
    <t>IATF 14/05/2026</t>
  </si>
  <si>
    <t>P+ F</t>
  </si>
  <si>
    <t>P+ M</t>
  </si>
  <si>
    <t>525</t>
  </si>
  <si>
    <t>1850F</t>
  </si>
  <si>
    <t>LMRH57</t>
  </si>
  <si>
    <t>FMSF1172</t>
  </si>
  <si>
    <t>FMSF1877</t>
  </si>
  <si>
    <t>FMSF1464</t>
  </si>
  <si>
    <t xml:space="preserve">ARGOS </t>
  </si>
  <si>
    <t>HANKOK</t>
  </si>
  <si>
    <t>1849F</t>
  </si>
  <si>
    <t>1848M</t>
  </si>
  <si>
    <t>1852F</t>
  </si>
  <si>
    <t>1847F</t>
  </si>
  <si>
    <t>1846F</t>
  </si>
  <si>
    <t>DESCARTE</t>
  </si>
  <si>
    <t>LMRZ199X921BAMA</t>
  </si>
  <si>
    <t>D1</t>
  </si>
  <si>
    <t>EPCO1312X921BAMA</t>
  </si>
  <si>
    <t>E3</t>
  </si>
  <si>
    <t>EPCO1312XCAMAROTE</t>
  </si>
  <si>
    <t>D2</t>
  </si>
  <si>
    <t>ACNN777XTATICO</t>
  </si>
  <si>
    <t>E2</t>
  </si>
  <si>
    <t>E1</t>
  </si>
  <si>
    <t>EPCO1312XQUISCO</t>
  </si>
  <si>
    <t>LMRZ40X921BAMA</t>
  </si>
  <si>
    <t>TX DESFRUTE</t>
  </si>
  <si>
    <t>D-0 4/5/26</t>
  </si>
  <si>
    <t>D-8 12/5/26</t>
  </si>
  <si>
    <t>TE 21/5/26</t>
  </si>
  <si>
    <t>MORREU</t>
  </si>
  <si>
    <t>V CISTO</t>
  </si>
  <si>
    <t>DG 18/6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</si>
</sst>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49" fontId="23" fillId="2" borderId="1" xfId="0" applyNumberFormat="1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49" fontId="25" fillId="2" borderId="1" xfId="0" applyNumberFormat="1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29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29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26" fillId="2" borderId="1" xfId="0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10" fontId="23" fillId="0" borderId="1" xfId="0" applyNumberFormat="1" applyFont="1" applyBorder="1" applyAlignment="1">
      <alignment horizontal="center"/>
    </xf>
    <xf numFmtId="10" fontId="23" fillId="3" borderId="1" xfId="0" applyNumberFormat="1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49" fontId="23" fillId="0" borderId="1" xfId="0" applyNumberFormat="1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49" fontId="25" fillId="0" borderId="1" xfId="0" applyNumberFormat="1" applyFont="1" applyBorder="1" applyAlignment="1">
      <alignment horizontal="center"/>
    </xf>
    <xf numFmtId="14" fontId="25" fillId="0" borderId="1" xfId="0" applyNumberFormat="1" applyFont="1" applyBorder="1" applyAlignment="1">
      <alignment horizontal="center"/>
    </xf>
    <xf numFmtId="49" fontId="26" fillId="2" borderId="1" xfId="0" applyNumberFormat="1" applyFont="1" applyFill="1" applyBorder="1" applyAlignment="1">
      <alignment horizontal="center"/>
    </xf>
    <xf numFmtId="49" fontId="26" fillId="3" borderId="1" xfId="0" applyNumberFormat="1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10" fontId="25" fillId="0" borderId="1" xfId="0" applyNumberFormat="1" applyFont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14" fontId="25" fillId="2" borderId="1" xfId="0" applyNumberFormat="1" applyFont="1" applyFill="1" applyBorder="1" applyAlignment="1">
      <alignment horizontal="center"/>
    </xf>
    <xf numFmtId="0" fontId="25" fillId="2" borderId="0" xfId="0" applyFont="1" applyFill="1"/>
    <xf numFmtId="0" fontId="25" fillId="2" borderId="2" xfId="0" applyFont="1" applyFill="1" applyBorder="1" applyAlignment="1">
      <alignment horizontal="center"/>
    </xf>
    <xf numFmtId="49" fontId="25" fillId="3" borderId="1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14" fontId="25" fillId="3" borderId="1" xfId="0" applyNumberFormat="1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5" fillId="0" borderId="3" xfId="0" applyFont="1" applyBorder="1" applyAlignment="1">
      <alignment horizontal="left"/>
    </xf>
    <xf numFmtId="10" fontId="29" fillId="3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1" xfId="0" applyFill="1" applyBorder="1"/>
    <xf numFmtId="0" fontId="23" fillId="3" borderId="0" xfId="0" applyFont="1" applyFill="1" applyAlignment="1">
      <alignment horizontal="center"/>
    </xf>
    <xf numFmtId="10" fontId="29" fillId="2" borderId="1" xfId="0" applyNumberFormat="1" applyFont="1" applyFill="1" applyBorder="1" applyAlignment="1">
      <alignment horizontal="center"/>
    </xf>
    <xf numFmtId="0" fontId="29" fillId="2" borderId="0" xfId="0" applyFont="1" applyFill="1"/>
    <xf numFmtId="0" fontId="29" fillId="2" borderId="0" xfId="0" applyFont="1" applyFill="1" applyAlignment="1">
      <alignment horizontal="center"/>
    </xf>
    <xf numFmtId="0" fontId="0" fillId="2" borderId="1" xfId="0" applyFill="1" applyBorder="1"/>
    <xf numFmtId="10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22" fillId="2" borderId="1" xfId="0" applyNumberFormat="1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14" fontId="21" fillId="2" borderId="1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9" fillId="0" borderId="1" xfId="0" applyFont="1" applyBorder="1"/>
    <xf numFmtId="0" fontId="20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7" fillId="0" borderId="0" xfId="0" applyFont="1"/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0" fontId="17" fillId="0" borderId="1" xfId="0" applyNumberFormat="1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4" fontId="13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49" fontId="22" fillId="3" borderId="1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14" fontId="19" fillId="2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14" fontId="21" fillId="3" borderId="1" xfId="0" applyNumberFormat="1" applyFont="1" applyFill="1" applyBorder="1" applyAlignment="1">
      <alignment horizontal="center"/>
    </xf>
    <xf numFmtId="14" fontId="13" fillId="3" borderId="1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2" fontId="23" fillId="2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0" fillId="2" borderId="1" xfId="0" applyFont="1" applyFill="1" applyBorder="1" applyAlignment="1">
      <alignment horizontal="center"/>
    </xf>
    <xf numFmtId="10" fontId="10" fillId="2" borderId="1" xfId="0" applyNumberFormat="1" applyFont="1" applyFill="1" applyBorder="1" applyAlignment="1">
      <alignment horizontal="center"/>
    </xf>
    <xf numFmtId="10" fontId="23" fillId="2" borderId="1" xfId="0" applyNumberFormat="1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10" fillId="2" borderId="0" xfId="0" applyFont="1" applyFill="1" applyAlignment="1">
      <alignment horizontal="center"/>
    </xf>
    <xf numFmtId="10" fontId="10" fillId="0" borderId="0" xfId="0" applyNumberFormat="1" applyFont="1" applyAlignment="1">
      <alignment horizontal="center"/>
    </xf>
    <xf numFmtId="0" fontId="23" fillId="2" borderId="6" xfId="0" applyFont="1" applyFill="1" applyBorder="1" applyAlignment="1">
      <alignment horizontal="center"/>
    </xf>
    <xf numFmtId="49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29" fillId="3" borderId="1" xfId="0" applyFont="1" applyFill="1" applyBorder="1"/>
    <xf numFmtId="0" fontId="0" fillId="3" borderId="0" xfId="0" applyFill="1"/>
    <xf numFmtId="14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0" fontId="29" fillId="0" borderId="1" xfId="0" applyNumberFormat="1" applyFont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49" fontId="25" fillId="5" borderId="1" xfId="0" applyNumberFormat="1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14" fontId="25" fillId="5" borderId="1" xfId="0" applyNumberFormat="1" applyFont="1" applyFill="1" applyBorder="1" applyAlignment="1">
      <alignment horizontal="center"/>
    </xf>
    <xf numFmtId="0" fontId="25" fillId="5" borderId="2" xfId="0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26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26" fillId="5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6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2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ont="1" applyFill="1"/>
    <xf numFmtId="0" fontId="0" fillId="0" borderId="0" xfId="0" applyFont="1"/>
    <xf numFmtId="0" fontId="10" fillId="5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10" fontId="3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0" fontId="3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6C59-1152-4FB2-B28A-77104A68E2E1}">
  <dimension ref="A1:F69"/>
  <sheetViews>
    <sheetView topLeftCell="A27" workbookViewId="0">
      <selection activeCell="C40" sqref="C40"/>
    </sheetView>
  </sheetViews>
  <sheetFormatPr defaultRowHeight="14.4" x14ac:dyDescent="0.3"/>
  <cols>
    <col min="1" max="1" width="13.33203125" style="14" customWidth="1"/>
    <col min="2" max="2" width="12" style="18" bestFit="1" customWidth="1"/>
    <col min="3" max="3" width="17.6640625" style="21" customWidth="1"/>
    <col min="4" max="4" width="9.88671875" bestFit="1" customWidth="1"/>
    <col min="5" max="5" width="16" bestFit="1" customWidth="1"/>
    <col min="6" max="6" width="14.44140625" bestFit="1" customWidth="1"/>
  </cols>
  <sheetData>
    <row r="1" spans="1:6" x14ac:dyDescent="0.3">
      <c r="A1" s="1" t="s">
        <v>0</v>
      </c>
      <c r="B1" s="2" t="s">
        <v>1</v>
      </c>
      <c r="C1" s="3" t="s">
        <v>138</v>
      </c>
      <c r="D1" s="3" t="s">
        <v>2</v>
      </c>
      <c r="E1" s="2" t="s">
        <v>157</v>
      </c>
      <c r="F1" s="2" t="s">
        <v>4</v>
      </c>
    </row>
    <row r="2" spans="1:6" x14ac:dyDescent="0.3">
      <c r="A2" s="47" t="s">
        <v>47</v>
      </c>
      <c r="B2" s="26" t="s">
        <v>49</v>
      </c>
      <c r="C2" s="48" t="s">
        <v>87</v>
      </c>
      <c r="D2" s="49" t="s">
        <v>82</v>
      </c>
      <c r="E2" s="26" t="s">
        <v>146</v>
      </c>
      <c r="F2" s="26" t="s">
        <v>59</v>
      </c>
    </row>
    <row r="3" spans="1:6" x14ac:dyDescent="0.3">
      <c r="A3" s="26">
        <v>1321</v>
      </c>
      <c r="B3" s="26" t="s">
        <v>20</v>
      </c>
      <c r="C3" s="29" t="s">
        <v>73</v>
      </c>
      <c r="D3" s="26" t="s">
        <v>84</v>
      </c>
      <c r="E3" s="26" t="s">
        <v>146</v>
      </c>
      <c r="F3" s="26" t="s">
        <v>5</v>
      </c>
    </row>
    <row r="4" spans="1:6" x14ac:dyDescent="0.3">
      <c r="A4" s="26">
        <v>1561</v>
      </c>
      <c r="B4" s="26" t="s">
        <v>52</v>
      </c>
      <c r="C4" s="29" t="s">
        <v>45</v>
      </c>
      <c r="D4" s="26" t="s">
        <v>82</v>
      </c>
      <c r="E4" s="26" t="s">
        <v>146</v>
      </c>
      <c r="F4" s="26"/>
    </row>
    <row r="5" spans="1:6" x14ac:dyDescent="0.3">
      <c r="A5" s="26">
        <v>1581</v>
      </c>
      <c r="B5" s="26" t="s">
        <v>21</v>
      </c>
      <c r="C5" s="29">
        <v>8108</v>
      </c>
      <c r="D5" s="26" t="s">
        <v>118</v>
      </c>
      <c r="E5" s="26" t="s">
        <v>146</v>
      </c>
      <c r="F5" s="26" t="s">
        <v>197</v>
      </c>
    </row>
    <row r="6" spans="1:6" x14ac:dyDescent="0.3">
      <c r="A6" s="26">
        <v>1583</v>
      </c>
      <c r="B6" s="26" t="s">
        <v>37</v>
      </c>
      <c r="C6" s="29" t="s">
        <v>75</v>
      </c>
      <c r="D6" s="26" t="s">
        <v>82</v>
      </c>
      <c r="E6" s="26" t="s">
        <v>146</v>
      </c>
      <c r="F6" s="26"/>
    </row>
    <row r="7" spans="1:6" x14ac:dyDescent="0.3">
      <c r="A7" s="26">
        <v>1586</v>
      </c>
      <c r="B7" s="26" t="s">
        <v>38</v>
      </c>
      <c r="C7" s="29" t="s">
        <v>45</v>
      </c>
      <c r="D7" s="26" t="s">
        <v>82</v>
      </c>
      <c r="E7" s="26" t="s">
        <v>146</v>
      </c>
      <c r="F7" s="26"/>
    </row>
    <row r="8" spans="1:6" x14ac:dyDescent="0.3">
      <c r="A8" s="4">
        <v>1588</v>
      </c>
      <c r="B8" s="4" t="s">
        <v>39</v>
      </c>
      <c r="C8" s="8" t="s">
        <v>76</v>
      </c>
      <c r="D8" s="4" t="s">
        <v>82</v>
      </c>
      <c r="E8" s="4" t="s">
        <v>159</v>
      </c>
      <c r="F8" s="4"/>
    </row>
    <row r="9" spans="1:6" x14ac:dyDescent="0.3">
      <c r="A9" s="4">
        <v>1593</v>
      </c>
      <c r="B9" s="4" t="s">
        <v>40</v>
      </c>
      <c r="C9" s="8" t="s">
        <v>53</v>
      </c>
      <c r="D9" s="4" t="s">
        <v>85</v>
      </c>
      <c r="E9" s="4" t="s">
        <v>160</v>
      </c>
      <c r="F9" s="4"/>
    </row>
    <row r="10" spans="1:6" x14ac:dyDescent="0.3">
      <c r="A10" s="26">
        <v>1594</v>
      </c>
      <c r="B10" s="26" t="s">
        <v>41</v>
      </c>
      <c r="C10" s="29" t="s">
        <v>53</v>
      </c>
      <c r="D10" s="26" t="s">
        <v>85</v>
      </c>
      <c r="E10" s="26" t="s">
        <v>146</v>
      </c>
      <c r="F10" s="26"/>
    </row>
    <row r="11" spans="1:6" x14ac:dyDescent="0.3">
      <c r="A11" s="26">
        <v>1614</v>
      </c>
      <c r="B11" s="26" t="s">
        <v>42</v>
      </c>
      <c r="C11" s="29" t="s">
        <v>74</v>
      </c>
      <c r="D11" s="26" t="s">
        <v>83</v>
      </c>
      <c r="E11" s="26" t="s">
        <v>146</v>
      </c>
      <c r="F11" s="26"/>
    </row>
    <row r="12" spans="1:6" x14ac:dyDescent="0.3">
      <c r="A12" s="26">
        <v>1615</v>
      </c>
      <c r="B12" s="26" t="s">
        <v>43</v>
      </c>
      <c r="C12" s="29" t="s">
        <v>75</v>
      </c>
      <c r="D12" s="26" t="s">
        <v>82</v>
      </c>
      <c r="E12" s="26" t="s">
        <v>146</v>
      </c>
      <c r="F12" s="26"/>
    </row>
    <row r="13" spans="1:6" x14ac:dyDescent="0.3">
      <c r="A13" s="4">
        <v>1644</v>
      </c>
      <c r="B13" s="4" t="s">
        <v>22</v>
      </c>
      <c r="C13" s="8" t="s">
        <v>73</v>
      </c>
      <c r="D13" s="4" t="s">
        <v>84</v>
      </c>
      <c r="E13" s="4" t="s">
        <v>161</v>
      </c>
      <c r="F13" s="4" t="s">
        <v>6</v>
      </c>
    </row>
    <row r="14" spans="1:6" x14ac:dyDescent="0.3">
      <c r="A14" s="4">
        <v>1645</v>
      </c>
      <c r="B14" s="4" t="s">
        <v>23</v>
      </c>
      <c r="C14" s="8" t="s">
        <v>78</v>
      </c>
      <c r="D14" s="4" t="s">
        <v>83</v>
      </c>
      <c r="E14" s="4" t="s">
        <v>161</v>
      </c>
      <c r="F14" s="4" t="s">
        <v>7</v>
      </c>
    </row>
    <row r="15" spans="1:6" x14ac:dyDescent="0.3">
      <c r="A15" s="4">
        <v>1656</v>
      </c>
      <c r="B15" s="4" t="s">
        <v>24</v>
      </c>
      <c r="C15" s="27" t="s">
        <v>78</v>
      </c>
      <c r="D15" s="4" t="s">
        <v>83</v>
      </c>
      <c r="E15" s="4" t="s">
        <v>162</v>
      </c>
      <c r="F15" s="4" t="s">
        <v>8</v>
      </c>
    </row>
    <row r="16" spans="1:6" x14ac:dyDescent="0.3">
      <c r="A16" s="4">
        <v>1659</v>
      </c>
      <c r="B16" s="4" t="s">
        <v>25</v>
      </c>
      <c r="C16" s="8" t="s">
        <v>79</v>
      </c>
      <c r="D16" s="4" t="s">
        <v>85</v>
      </c>
      <c r="E16" s="4" t="s">
        <v>160</v>
      </c>
      <c r="F16" s="4" t="s">
        <v>9</v>
      </c>
    </row>
    <row r="17" spans="1:6" x14ac:dyDescent="0.3">
      <c r="A17" s="26">
        <v>1660</v>
      </c>
      <c r="B17" s="26" t="s">
        <v>26</v>
      </c>
      <c r="C17" s="29" t="s">
        <v>45</v>
      </c>
      <c r="D17" s="26" t="s">
        <v>82</v>
      </c>
      <c r="E17" s="26" t="s">
        <v>146</v>
      </c>
      <c r="F17" s="26" t="s">
        <v>10</v>
      </c>
    </row>
    <row r="18" spans="1:6" x14ac:dyDescent="0.3">
      <c r="A18" s="4">
        <v>1661</v>
      </c>
      <c r="B18" s="4" t="s">
        <v>27</v>
      </c>
      <c r="C18" s="27" t="s">
        <v>78</v>
      </c>
      <c r="D18" s="4" t="s">
        <v>83</v>
      </c>
      <c r="E18" s="4" t="s">
        <v>162</v>
      </c>
      <c r="F18" s="4" t="s">
        <v>11</v>
      </c>
    </row>
    <row r="19" spans="1:6" x14ac:dyDescent="0.3">
      <c r="A19" s="26">
        <v>1662</v>
      </c>
      <c r="B19" s="26" t="s">
        <v>28</v>
      </c>
      <c r="C19" s="29" t="s">
        <v>78</v>
      </c>
      <c r="D19" s="26" t="s">
        <v>83</v>
      </c>
      <c r="E19" s="26" t="s">
        <v>146</v>
      </c>
      <c r="F19" s="26" t="s">
        <v>12</v>
      </c>
    </row>
    <row r="20" spans="1:6" x14ac:dyDescent="0.3">
      <c r="A20" s="26">
        <v>1664</v>
      </c>
      <c r="B20" s="26" t="s">
        <v>29</v>
      </c>
      <c r="C20" s="29" t="s">
        <v>75</v>
      </c>
      <c r="D20" s="26" t="s">
        <v>82</v>
      </c>
      <c r="E20" s="26" t="s">
        <v>146</v>
      </c>
      <c r="F20" s="26" t="s">
        <v>13</v>
      </c>
    </row>
    <row r="21" spans="1:6" x14ac:dyDescent="0.3">
      <c r="A21" s="26">
        <v>1667</v>
      </c>
      <c r="B21" s="26" t="s">
        <v>30</v>
      </c>
      <c r="C21" s="29" t="s">
        <v>80</v>
      </c>
      <c r="D21" s="26" t="s">
        <v>86</v>
      </c>
      <c r="E21" s="26" t="s">
        <v>146</v>
      </c>
      <c r="F21" s="26" t="s">
        <v>204</v>
      </c>
    </row>
    <row r="22" spans="1:6" x14ac:dyDescent="0.3">
      <c r="A22" s="4">
        <v>1670</v>
      </c>
      <c r="B22" s="4" t="s">
        <v>31</v>
      </c>
      <c r="C22" s="8" t="s">
        <v>78</v>
      </c>
      <c r="D22" s="4" t="s">
        <v>83</v>
      </c>
      <c r="E22" s="4" t="s">
        <v>161</v>
      </c>
      <c r="F22" s="4" t="s">
        <v>14</v>
      </c>
    </row>
    <row r="23" spans="1:6" x14ac:dyDescent="0.3">
      <c r="A23" s="26">
        <v>1672</v>
      </c>
      <c r="B23" s="26" t="s">
        <v>32</v>
      </c>
      <c r="C23" s="29" t="s">
        <v>45</v>
      </c>
      <c r="D23" s="26" t="s">
        <v>82</v>
      </c>
      <c r="E23" s="26" t="s">
        <v>146</v>
      </c>
      <c r="F23" s="26" t="s">
        <v>15</v>
      </c>
    </row>
    <row r="24" spans="1:6" x14ac:dyDescent="0.3">
      <c r="A24" s="26">
        <v>1673</v>
      </c>
      <c r="B24" s="26" t="s">
        <v>33</v>
      </c>
      <c r="C24" s="29" t="s">
        <v>78</v>
      </c>
      <c r="D24" s="26" t="s">
        <v>83</v>
      </c>
      <c r="E24" s="26" t="s">
        <v>146</v>
      </c>
      <c r="F24" s="26" t="s">
        <v>16</v>
      </c>
    </row>
    <row r="25" spans="1:6" x14ac:dyDescent="0.3">
      <c r="A25" s="26">
        <v>1698</v>
      </c>
      <c r="B25" s="26" t="s">
        <v>34</v>
      </c>
      <c r="C25" s="29" t="s">
        <v>75</v>
      </c>
      <c r="D25" s="26" t="s">
        <v>82</v>
      </c>
      <c r="E25" s="26" t="s">
        <v>146</v>
      </c>
      <c r="F25" s="26" t="s">
        <v>17</v>
      </c>
    </row>
    <row r="26" spans="1:6" x14ac:dyDescent="0.3">
      <c r="A26" s="26">
        <v>1707</v>
      </c>
      <c r="B26" s="26" t="s">
        <v>35</v>
      </c>
      <c r="C26" s="29" t="s">
        <v>79</v>
      </c>
      <c r="D26" s="26" t="s">
        <v>85</v>
      </c>
      <c r="E26" s="26" t="s">
        <v>146</v>
      </c>
      <c r="F26" s="26" t="s">
        <v>18</v>
      </c>
    </row>
    <row r="27" spans="1:6" x14ac:dyDescent="0.3">
      <c r="A27" s="4">
        <v>2003</v>
      </c>
      <c r="B27" s="4" t="s">
        <v>117</v>
      </c>
      <c r="C27" s="8">
        <v>8108</v>
      </c>
      <c r="D27" s="4" t="s">
        <v>82</v>
      </c>
      <c r="E27" s="4" t="s">
        <v>161</v>
      </c>
      <c r="F27" s="4"/>
    </row>
    <row r="28" spans="1:6" x14ac:dyDescent="0.3">
      <c r="A28" s="4">
        <v>2006</v>
      </c>
      <c r="B28" s="4" t="s">
        <v>51</v>
      </c>
      <c r="C28" s="27" t="s">
        <v>121</v>
      </c>
      <c r="D28" s="4" t="s">
        <v>83</v>
      </c>
      <c r="E28" s="4" t="s">
        <v>158</v>
      </c>
      <c r="F28" s="4" t="s">
        <v>120</v>
      </c>
    </row>
    <row r="29" spans="1:6" s="13" customFormat="1" x14ac:dyDescent="0.3">
      <c r="A29" s="2" t="s">
        <v>81</v>
      </c>
      <c r="B29" s="2">
        <v>27</v>
      </c>
      <c r="C29" s="8"/>
      <c r="D29" s="2"/>
      <c r="E29" s="2"/>
      <c r="F29" s="2"/>
    </row>
    <row r="30" spans="1:6" x14ac:dyDescent="0.3">
      <c r="A30" s="23" t="s">
        <v>72</v>
      </c>
      <c r="B30" s="14"/>
      <c r="C30" s="20"/>
      <c r="D30" s="15"/>
      <c r="E30" s="15"/>
      <c r="F30" s="15"/>
    </row>
    <row r="31" spans="1:6" x14ac:dyDescent="0.3">
      <c r="A31" s="4">
        <v>601</v>
      </c>
      <c r="B31" s="4" t="s">
        <v>110</v>
      </c>
      <c r="C31" s="10" t="s">
        <v>68</v>
      </c>
      <c r="D31" s="9" t="s">
        <v>84</v>
      </c>
      <c r="E31" s="9" t="s">
        <v>163</v>
      </c>
      <c r="F31" s="16"/>
    </row>
    <row r="32" spans="1:6" x14ac:dyDescent="0.3">
      <c r="A32" s="26">
        <v>1390</v>
      </c>
      <c r="B32" s="26" t="s">
        <v>54</v>
      </c>
      <c r="C32" s="30" t="s">
        <v>65</v>
      </c>
      <c r="D32" s="26" t="s">
        <v>86</v>
      </c>
      <c r="E32" s="26" t="s">
        <v>146</v>
      </c>
      <c r="F32" s="26" t="s">
        <v>60</v>
      </c>
    </row>
    <row r="33" spans="1:6" x14ac:dyDescent="0.3">
      <c r="A33" s="26">
        <v>1394</v>
      </c>
      <c r="B33" s="26" t="s">
        <v>55</v>
      </c>
      <c r="C33" s="30" t="s">
        <v>66</v>
      </c>
      <c r="D33" s="26" t="s">
        <v>86</v>
      </c>
      <c r="E33" s="26" t="s">
        <v>146</v>
      </c>
      <c r="F33" s="26" t="s">
        <v>61</v>
      </c>
    </row>
    <row r="34" spans="1:6" x14ac:dyDescent="0.3">
      <c r="A34" s="4">
        <v>1395</v>
      </c>
      <c r="B34" s="4" t="s">
        <v>56</v>
      </c>
      <c r="C34" s="10" t="s">
        <v>65</v>
      </c>
      <c r="D34" s="9" t="s">
        <v>86</v>
      </c>
      <c r="E34" s="9" t="s">
        <v>160</v>
      </c>
      <c r="F34" s="9" t="s">
        <v>62</v>
      </c>
    </row>
    <row r="35" spans="1:6" x14ac:dyDescent="0.3">
      <c r="A35" s="4">
        <v>1453</v>
      </c>
      <c r="B35" s="4" t="s">
        <v>111</v>
      </c>
      <c r="C35" s="10" t="s">
        <v>65</v>
      </c>
      <c r="D35" s="9" t="s">
        <v>86</v>
      </c>
      <c r="E35" s="9" t="s">
        <v>160</v>
      </c>
      <c r="F35" s="9"/>
    </row>
    <row r="36" spans="1:6" x14ac:dyDescent="0.3">
      <c r="A36" s="26">
        <v>1522</v>
      </c>
      <c r="B36" s="26" t="s">
        <v>71</v>
      </c>
      <c r="C36" s="30" t="s">
        <v>65</v>
      </c>
      <c r="D36" s="26" t="s">
        <v>86</v>
      </c>
      <c r="E36" s="26" t="s">
        <v>146</v>
      </c>
      <c r="F36" s="26"/>
    </row>
    <row r="37" spans="1:6" x14ac:dyDescent="0.3">
      <c r="A37" s="26">
        <v>1543</v>
      </c>
      <c r="B37" s="26" t="s">
        <v>119</v>
      </c>
      <c r="C37" s="30" t="s">
        <v>66</v>
      </c>
      <c r="D37" s="26" t="s">
        <v>86</v>
      </c>
      <c r="E37" s="26" t="s">
        <v>146</v>
      </c>
      <c r="F37" s="26"/>
    </row>
    <row r="38" spans="1:6" ht="12.6" customHeight="1" x14ac:dyDescent="0.3">
      <c r="A38" s="4">
        <v>1547</v>
      </c>
      <c r="B38" s="4" t="s">
        <v>112</v>
      </c>
      <c r="C38" s="10" t="s">
        <v>66</v>
      </c>
      <c r="D38" s="9" t="s">
        <v>86</v>
      </c>
      <c r="E38" s="9" t="s">
        <v>160</v>
      </c>
      <c r="F38" s="9"/>
    </row>
    <row r="39" spans="1:6" x14ac:dyDescent="0.3">
      <c r="A39" s="4">
        <v>1555</v>
      </c>
      <c r="B39" s="4" t="s">
        <v>114</v>
      </c>
      <c r="C39" s="10" t="s">
        <v>67</v>
      </c>
      <c r="D39" s="9" t="s">
        <v>84</v>
      </c>
      <c r="E39" s="9" t="s">
        <v>160</v>
      </c>
      <c r="F39" s="9"/>
    </row>
    <row r="40" spans="1:6" x14ac:dyDescent="0.3">
      <c r="A40" s="26">
        <v>1619</v>
      </c>
      <c r="B40" s="26" t="s">
        <v>57</v>
      </c>
      <c r="C40" s="30" t="s">
        <v>67</v>
      </c>
      <c r="D40" s="26" t="s">
        <v>84</v>
      </c>
      <c r="E40" s="26" t="s">
        <v>146</v>
      </c>
      <c r="F40" s="26"/>
    </row>
    <row r="41" spans="1:6" x14ac:dyDescent="0.3">
      <c r="A41" s="26">
        <v>1620</v>
      </c>
      <c r="B41" s="26" t="s">
        <v>58</v>
      </c>
      <c r="C41" s="30" t="s">
        <v>68</v>
      </c>
      <c r="D41" s="26" t="s">
        <v>84</v>
      </c>
      <c r="E41" s="26" t="s">
        <v>146</v>
      </c>
      <c r="F41" s="26" t="s">
        <v>63</v>
      </c>
    </row>
    <row r="42" spans="1:6" x14ac:dyDescent="0.3">
      <c r="A42" s="4">
        <v>1621</v>
      </c>
      <c r="B42" s="4" t="s">
        <v>64</v>
      </c>
      <c r="C42" s="10" t="s">
        <v>68</v>
      </c>
      <c r="D42" s="9" t="s">
        <v>84</v>
      </c>
      <c r="E42" s="9" t="s">
        <v>160</v>
      </c>
      <c r="F42" s="9"/>
    </row>
    <row r="43" spans="1:6" x14ac:dyDescent="0.3">
      <c r="A43" s="26">
        <v>1652</v>
      </c>
      <c r="B43" s="26" t="s">
        <v>70</v>
      </c>
      <c r="C43" s="30" t="s">
        <v>67</v>
      </c>
      <c r="D43" s="26" t="s">
        <v>84</v>
      </c>
      <c r="E43" s="26" t="s">
        <v>146</v>
      </c>
      <c r="F43" s="26"/>
    </row>
    <row r="44" spans="1:6" x14ac:dyDescent="0.3">
      <c r="A44" s="26">
        <v>1653</v>
      </c>
      <c r="B44" s="26" t="s">
        <v>69</v>
      </c>
      <c r="C44" s="30" t="s">
        <v>66</v>
      </c>
      <c r="D44" s="26" t="s">
        <v>86</v>
      </c>
      <c r="E44" s="26" t="s">
        <v>146</v>
      </c>
      <c r="F44" s="26"/>
    </row>
    <row r="45" spans="1:6" x14ac:dyDescent="0.3">
      <c r="A45" s="4"/>
      <c r="B45" s="4"/>
      <c r="C45" s="10" t="s">
        <v>146</v>
      </c>
      <c r="D45" s="9"/>
      <c r="E45" s="10"/>
      <c r="F45" s="9"/>
    </row>
    <row r="46" spans="1:6" x14ac:dyDescent="0.3">
      <c r="A46" s="2" t="s">
        <v>198</v>
      </c>
      <c r="B46" s="2">
        <v>27</v>
      </c>
      <c r="C46" s="10">
        <v>17</v>
      </c>
      <c r="D46" s="31">
        <f>C46/B46</f>
        <v>0.62962962962962965</v>
      </c>
      <c r="E46" s="10"/>
      <c r="F46" s="9"/>
    </row>
    <row r="47" spans="1:6" x14ac:dyDescent="0.3">
      <c r="A47" s="2" t="s">
        <v>72</v>
      </c>
      <c r="B47" s="2">
        <v>14</v>
      </c>
      <c r="C47" s="10">
        <v>8</v>
      </c>
      <c r="D47" s="31">
        <f t="shared" ref="D47:D48" si="0">C47/B47</f>
        <v>0.5714285714285714</v>
      </c>
      <c r="E47" s="10"/>
      <c r="F47" s="16"/>
    </row>
    <row r="48" spans="1:6" x14ac:dyDescent="0.3">
      <c r="A48" s="30" t="s">
        <v>81</v>
      </c>
      <c r="B48" s="30">
        <f>SUM(B46:B47)</f>
        <v>41</v>
      </c>
      <c r="C48" s="30">
        <f>SUM(C46:C47)</f>
        <v>25</v>
      </c>
      <c r="D48" s="32">
        <f t="shared" si="0"/>
        <v>0.6097560975609756</v>
      </c>
      <c r="E48" s="9"/>
      <c r="F48" s="16"/>
    </row>
    <row r="49" spans="1:6" x14ac:dyDescent="0.3">
      <c r="A49" s="17"/>
      <c r="B49" s="17"/>
      <c r="C49" s="9"/>
      <c r="D49" s="16"/>
      <c r="E49" s="16"/>
      <c r="F49" s="16"/>
    </row>
    <row r="50" spans="1:6" x14ac:dyDescent="0.3">
      <c r="A50" s="17"/>
      <c r="B50" s="17"/>
      <c r="C50" s="9"/>
      <c r="D50" s="16"/>
      <c r="E50" s="16"/>
      <c r="F50" s="16"/>
    </row>
    <row r="51" spans="1:6" x14ac:dyDescent="0.3">
      <c r="A51" s="17"/>
      <c r="B51" s="17"/>
      <c r="C51" s="9"/>
      <c r="D51" s="16"/>
      <c r="E51" s="16"/>
      <c r="F51" s="16"/>
    </row>
    <row r="52" spans="1:6" x14ac:dyDescent="0.3">
      <c r="A52" s="11" t="s">
        <v>88</v>
      </c>
      <c r="B52" s="11" t="s">
        <v>89</v>
      </c>
      <c r="C52" s="9" t="s">
        <v>146</v>
      </c>
      <c r="D52" s="16" t="s">
        <v>145</v>
      </c>
    </row>
    <row r="53" spans="1:6" x14ac:dyDescent="0.3">
      <c r="A53" s="17">
        <v>8108</v>
      </c>
      <c r="B53" s="17">
        <v>2</v>
      </c>
      <c r="C53" s="9">
        <v>1</v>
      </c>
      <c r="D53" s="25">
        <f>C53/B53</f>
        <v>0.5</v>
      </c>
    </row>
    <row r="54" spans="1:6" x14ac:dyDescent="0.3">
      <c r="A54" s="17" t="s">
        <v>75</v>
      </c>
      <c r="B54" s="17">
        <v>4</v>
      </c>
      <c r="C54" s="9">
        <v>4</v>
      </c>
      <c r="D54" s="25">
        <f t="shared" ref="D54:D68" si="1">C54/B54</f>
        <v>1</v>
      </c>
    </row>
    <row r="55" spans="1:6" x14ac:dyDescent="0.3">
      <c r="A55" s="17" t="s">
        <v>45</v>
      </c>
      <c r="B55" s="17">
        <v>4</v>
      </c>
      <c r="C55" s="9">
        <v>4</v>
      </c>
      <c r="D55" s="25">
        <f t="shared" si="1"/>
        <v>1</v>
      </c>
    </row>
    <row r="56" spans="1:6" s="13" customFormat="1" x14ac:dyDescent="0.3">
      <c r="A56" s="11" t="s">
        <v>66</v>
      </c>
      <c r="B56" s="11">
        <v>4</v>
      </c>
      <c r="C56" s="10">
        <v>3</v>
      </c>
      <c r="D56" s="25">
        <f t="shared" si="1"/>
        <v>0.75</v>
      </c>
    </row>
    <row r="57" spans="1:6" s="13" customFormat="1" x14ac:dyDescent="0.3">
      <c r="A57" s="11" t="s">
        <v>68</v>
      </c>
      <c r="B57" s="11">
        <v>3</v>
      </c>
      <c r="C57" s="10">
        <v>1</v>
      </c>
      <c r="D57" s="25">
        <f t="shared" si="1"/>
        <v>0.33333333333333331</v>
      </c>
    </row>
    <row r="58" spans="1:6" x14ac:dyDescent="0.3">
      <c r="A58" s="17" t="s">
        <v>87</v>
      </c>
      <c r="B58" s="17">
        <v>1</v>
      </c>
      <c r="C58" s="9">
        <v>1</v>
      </c>
      <c r="D58" s="25">
        <f t="shared" si="1"/>
        <v>1</v>
      </c>
    </row>
    <row r="59" spans="1:6" s="13" customFormat="1" x14ac:dyDescent="0.3">
      <c r="A59" s="11" t="s">
        <v>67</v>
      </c>
      <c r="B59" s="11">
        <v>3</v>
      </c>
      <c r="C59" s="10">
        <v>2</v>
      </c>
      <c r="D59" s="25">
        <f t="shared" si="1"/>
        <v>0.66666666666666663</v>
      </c>
    </row>
    <row r="60" spans="1:6" x14ac:dyDescent="0.3">
      <c r="A60" s="17" t="s">
        <v>79</v>
      </c>
      <c r="B60" s="17">
        <v>2</v>
      </c>
      <c r="C60" s="9">
        <v>1</v>
      </c>
      <c r="D60" s="25">
        <f t="shared" si="1"/>
        <v>0.5</v>
      </c>
    </row>
    <row r="61" spans="1:6" x14ac:dyDescent="0.3">
      <c r="A61" s="17" t="s">
        <v>80</v>
      </c>
      <c r="B61" s="17">
        <v>1</v>
      </c>
      <c r="C61" s="9">
        <v>1</v>
      </c>
      <c r="D61" s="25">
        <f t="shared" si="1"/>
        <v>1</v>
      </c>
    </row>
    <row r="62" spans="1:6" x14ac:dyDescent="0.3">
      <c r="A62" s="17" t="s">
        <v>53</v>
      </c>
      <c r="B62" s="17">
        <v>2</v>
      </c>
      <c r="C62" s="9">
        <v>1</v>
      </c>
      <c r="D62" s="25">
        <f t="shared" si="1"/>
        <v>0.5</v>
      </c>
    </row>
    <row r="63" spans="1:6" x14ac:dyDescent="0.3">
      <c r="A63" s="17" t="s">
        <v>74</v>
      </c>
      <c r="B63" s="17">
        <v>1</v>
      </c>
      <c r="C63" s="9">
        <v>1</v>
      </c>
      <c r="D63" s="25">
        <f t="shared" si="1"/>
        <v>1</v>
      </c>
    </row>
    <row r="64" spans="1:6" s="13" customFormat="1" x14ac:dyDescent="0.3">
      <c r="A64" s="11" t="s">
        <v>65</v>
      </c>
      <c r="B64" s="11">
        <v>4</v>
      </c>
      <c r="C64" s="10">
        <v>2</v>
      </c>
      <c r="D64" s="25">
        <f t="shared" si="1"/>
        <v>0.5</v>
      </c>
    </row>
    <row r="65" spans="1:5" x14ac:dyDescent="0.3">
      <c r="A65" s="17" t="s">
        <v>78</v>
      </c>
      <c r="B65" s="17">
        <v>6</v>
      </c>
      <c r="C65" s="9">
        <v>2</v>
      </c>
      <c r="D65" s="25">
        <f t="shared" si="1"/>
        <v>0.33333333333333331</v>
      </c>
    </row>
    <row r="66" spans="1:5" x14ac:dyDescent="0.3">
      <c r="A66" s="17" t="s">
        <v>121</v>
      </c>
      <c r="B66" s="17">
        <v>1</v>
      </c>
      <c r="C66" s="20">
        <v>0</v>
      </c>
      <c r="D66" s="25">
        <f t="shared" si="1"/>
        <v>0</v>
      </c>
      <c r="E66" s="21"/>
    </row>
    <row r="67" spans="1:5" x14ac:dyDescent="0.3">
      <c r="A67" s="17" t="s">
        <v>73</v>
      </c>
      <c r="B67" s="17">
        <v>2</v>
      </c>
      <c r="C67" s="9">
        <v>1</v>
      </c>
      <c r="D67" s="25">
        <f t="shared" si="1"/>
        <v>0.5</v>
      </c>
    </row>
    <row r="68" spans="1:5" x14ac:dyDescent="0.3">
      <c r="A68" s="17" t="s">
        <v>76</v>
      </c>
      <c r="B68" s="17">
        <v>1</v>
      </c>
      <c r="C68" s="9">
        <v>0</v>
      </c>
      <c r="D68" s="25">
        <f t="shared" si="1"/>
        <v>0</v>
      </c>
    </row>
    <row r="69" spans="1:5" x14ac:dyDescent="0.3">
      <c r="A69" s="12" t="s">
        <v>81</v>
      </c>
      <c r="B69" s="12">
        <f>SUM(B53:B68)</f>
        <v>41</v>
      </c>
      <c r="C69" s="30">
        <f>SUM(C53:C68)</f>
        <v>25</v>
      </c>
      <c r="D69" s="54">
        <f>C69/B69</f>
        <v>0.6097560975609756</v>
      </c>
    </row>
  </sheetData>
  <autoFilter ref="A1:F48" xr:uid="{16926C59-1152-4FB2-B28A-77104A68E2E1}"/>
  <sortState xmlns:xlrd2="http://schemas.microsoft.com/office/spreadsheetml/2017/richdata2" ref="A53:B69">
    <sortCondition ref="A53:A69"/>
  </sortState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8FEA-9D19-4B7F-AD0A-D3AE37DBFB53}">
  <sheetPr>
    <pageSetUpPr fitToPage="1"/>
  </sheetPr>
  <dimension ref="A1:K77"/>
  <sheetViews>
    <sheetView topLeftCell="A56" workbookViewId="0">
      <selection activeCell="G28" sqref="G28"/>
    </sheetView>
  </sheetViews>
  <sheetFormatPr defaultRowHeight="14.4" x14ac:dyDescent="0.3"/>
  <cols>
    <col min="1" max="1" width="15.21875" style="18" customWidth="1"/>
    <col min="2" max="2" width="19.6640625" customWidth="1"/>
    <col min="3" max="3" width="16.44140625" style="15" customWidth="1"/>
    <col min="4" max="4" width="9.77734375" bestFit="1" customWidth="1"/>
    <col min="5" max="5" width="18.109375" bestFit="1" customWidth="1"/>
    <col min="6" max="6" width="9.88671875" style="15" bestFit="1" customWidth="1"/>
    <col min="7" max="7" width="16.33203125" style="52" bestFit="1" customWidth="1"/>
    <col min="8" max="8" width="10.6640625" style="15" bestFit="1" customWidth="1"/>
  </cols>
  <sheetData>
    <row r="1" spans="1:8" x14ac:dyDescent="0.3">
      <c r="A1" s="1" t="s">
        <v>0</v>
      </c>
      <c r="B1" s="2" t="s">
        <v>1</v>
      </c>
      <c r="C1" s="2" t="s">
        <v>151</v>
      </c>
      <c r="D1" s="2" t="s">
        <v>152</v>
      </c>
      <c r="E1" s="3" t="s">
        <v>153</v>
      </c>
      <c r="F1" s="3" t="s">
        <v>2</v>
      </c>
      <c r="G1" s="2" t="s">
        <v>3</v>
      </c>
      <c r="H1" s="2" t="s">
        <v>4</v>
      </c>
    </row>
    <row r="2" spans="1:8" x14ac:dyDescent="0.3">
      <c r="A2" s="47" t="s">
        <v>240</v>
      </c>
      <c r="B2" s="26" t="s">
        <v>241</v>
      </c>
      <c r="C2" s="26"/>
      <c r="D2" s="26"/>
      <c r="E2" s="48" t="s">
        <v>252</v>
      </c>
      <c r="F2" s="49"/>
      <c r="G2" s="30" t="s">
        <v>146</v>
      </c>
      <c r="H2" s="26"/>
    </row>
    <row r="3" spans="1:8" x14ac:dyDescent="0.3">
      <c r="A3" s="47" t="s">
        <v>253</v>
      </c>
      <c r="B3" s="26" t="s">
        <v>254</v>
      </c>
      <c r="C3" s="26"/>
      <c r="D3" s="26"/>
      <c r="E3" s="48" t="s">
        <v>252</v>
      </c>
      <c r="F3" s="49"/>
      <c r="G3" s="30" t="s">
        <v>146</v>
      </c>
      <c r="H3" s="26"/>
    </row>
    <row r="4" spans="1:8" x14ac:dyDescent="0.3">
      <c r="A4" s="6" t="s">
        <v>124</v>
      </c>
      <c r="B4" s="4" t="s">
        <v>125</v>
      </c>
      <c r="C4" s="4" t="s">
        <v>165</v>
      </c>
      <c r="D4" s="4" t="s">
        <v>227</v>
      </c>
      <c r="E4" s="3" t="s">
        <v>45</v>
      </c>
      <c r="F4" s="7" t="s">
        <v>82</v>
      </c>
      <c r="G4" s="2" t="s">
        <v>248</v>
      </c>
      <c r="H4" s="4" t="s">
        <v>127</v>
      </c>
    </row>
    <row r="5" spans="1:8" x14ac:dyDescent="0.3">
      <c r="A5" s="5" t="s">
        <v>168</v>
      </c>
      <c r="B5" s="5" t="s">
        <v>169</v>
      </c>
      <c r="C5" s="5" t="s">
        <v>193</v>
      </c>
      <c r="D5" s="4" t="s">
        <v>227</v>
      </c>
      <c r="E5" s="8" t="s">
        <v>45</v>
      </c>
      <c r="F5" s="5" t="s">
        <v>82</v>
      </c>
      <c r="G5" s="10" t="s">
        <v>159</v>
      </c>
      <c r="H5" s="24"/>
    </row>
    <row r="6" spans="1:8" x14ac:dyDescent="0.3">
      <c r="A6" s="5" t="s">
        <v>170</v>
      </c>
      <c r="B6" s="5" t="s">
        <v>171</v>
      </c>
      <c r="C6" s="5" t="s">
        <v>194</v>
      </c>
      <c r="D6" s="4" t="s">
        <v>227</v>
      </c>
      <c r="E6" s="8" t="s">
        <v>172</v>
      </c>
      <c r="F6" s="5" t="s">
        <v>86</v>
      </c>
      <c r="G6" s="10" t="s">
        <v>160</v>
      </c>
      <c r="H6" s="9"/>
    </row>
    <row r="7" spans="1:8" x14ac:dyDescent="0.3">
      <c r="A7" s="4">
        <v>1577</v>
      </c>
      <c r="B7" s="4" t="s">
        <v>200</v>
      </c>
      <c r="C7" s="4" t="s">
        <v>160</v>
      </c>
      <c r="D7" s="4" t="s">
        <v>227</v>
      </c>
      <c r="E7" s="8" t="s">
        <v>201</v>
      </c>
      <c r="F7" s="4" t="s">
        <v>83</v>
      </c>
      <c r="G7" s="10" t="s">
        <v>160</v>
      </c>
      <c r="H7" s="16"/>
    </row>
    <row r="8" spans="1:8" x14ac:dyDescent="0.3">
      <c r="A8" s="4">
        <v>1588</v>
      </c>
      <c r="B8" s="4" t="s">
        <v>39</v>
      </c>
      <c r="C8" s="4" t="s">
        <v>159</v>
      </c>
      <c r="D8" s="4" t="s">
        <v>227</v>
      </c>
      <c r="E8" s="8" t="s">
        <v>76</v>
      </c>
      <c r="F8" s="4" t="s">
        <v>82</v>
      </c>
      <c r="G8" s="10" t="s">
        <v>159</v>
      </c>
      <c r="H8" s="4"/>
    </row>
    <row r="9" spans="1:8" x14ac:dyDescent="0.3">
      <c r="A9" s="4">
        <v>1593</v>
      </c>
      <c r="B9" s="4" t="s">
        <v>40</v>
      </c>
      <c r="C9" s="4" t="s">
        <v>160</v>
      </c>
      <c r="D9" s="4" t="s">
        <v>227</v>
      </c>
      <c r="E9" s="8" t="s">
        <v>53</v>
      </c>
      <c r="F9" s="4" t="s">
        <v>85</v>
      </c>
      <c r="G9" s="10" t="s">
        <v>160</v>
      </c>
      <c r="H9" s="4"/>
    </row>
    <row r="10" spans="1:8" x14ac:dyDescent="0.3">
      <c r="A10" s="51" t="s">
        <v>174</v>
      </c>
      <c r="B10" s="51" t="s">
        <v>175</v>
      </c>
      <c r="C10" s="51" t="s">
        <v>167</v>
      </c>
      <c r="D10" s="26" t="s">
        <v>227</v>
      </c>
      <c r="E10" s="29" t="s">
        <v>77</v>
      </c>
      <c r="F10" s="51" t="s">
        <v>82</v>
      </c>
      <c r="G10" s="30" t="s">
        <v>146</v>
      </c>
      <c r="H10" s="56"/>
    </row>
    <row r="11" spans="1:8" x14ac:dyDescent="0.3">
      <c r="A11" s="5" t="s">
        <v>176</v>
      </c>
      <c r="B11" s="5" t="s">
        <v>177</v>
      </c>
      <c r="C11" s="5" t="s">
        <v>193</v>
      </c>
      <c r="D11" s="4" t="s">
        <v>227</v>
      </c>
      <c r="E11" s="27" t="s">
        <v>192</v>
      </c>
      <c r="F11" s="5" t="s">
        <v>85</v>
      </c>
      <c r="G11" s="10" t="s">
        <v>159</v>
      </c>
      <c r="H11" s="24"/>
    </row>
    <row r="12" spans="1:8" x14ac:dyDescent="0.3">
      <c r="A12" s="5" t="s">
        <v>178</v>
      </c>
      <c r="B12" s="5" t="s">
        <v>179</v>
      </c>
      <c r="C12" s="5" t="s">
        <v>194</v>
      </c>
      <c r="D12" s="4" t="s">
        <v>227</v>
      </c>
      <c r="E12" s="27" t="s">
        <v>173</v>
      </c>
      <c r="F12" s="5" t="s">
        <v>82</v>
      </c>
      <c r="G12" s="10" t="s">
        <v>159</v>
      </c>
      <c r="H12" s="24"/>
    </row>
    <row r="13" spans="1:8" s="18" customFormat="1" x14ac:dyDescent="0.3">
      <c r="A13" s="22" t="s">
        <v>180</v>
      </c>
      <c r="B13" s="22" t="s">
        <v>181</v>
      </c>
      <c r="C13" s="22" t="s">
        <v>167</v>
      </c>
      <c r="D13" s="4" t="s">
        <v>227</v>
      </c>
      <c r="E13" s="27" t="s">
        <v>76</v>
      </c>
      <c r="F13" s="22" t="s">
        <v>82</v>
      </c>
      <c r="G13" s="2" t="s">
        <v>158</v>
      </c>
      <c r="H13" s="61"/>
    </row>
    <row r="14" spans="1:8" s="20" customFormat="1" x14ac:dyDescent="0.3">
      <c r="A14" s="5" t="s">
        <v>182</v>
      </c>
      <c r="B14" s="5" t="s">
        <v>183</v>
      </c>
      <c r="C14" s="5" t="s">
        <v>194</v>
      </c>
      <c r="D14" s="4" t="s">
        <v>227</v>
      </c>
      <c r="E14" s="8" t="s">
        <v>195</v>
      </c>
      <c r="F14" s="5" t="s">
        <v>196</v>
      </c>
      <c r="G14" s="10" t="s">
        <v>159</v>
      </c>
      <c r="H14" s="24"/>
    </row>
    <row r="15" spans="1:8" x14ac:dyDescent="0.3">
      <c r="A15" s="5" t="s">
        <v>184</v>
      </c>
      <c r="B15" s="5" t="s">
        <v>185</v>
      </c>
      <c r="C15" s="5" t="s">
        <v>167</v>
      </c>
      <c r="D15" s="4" t="s">
        <v>227</v>
      </c>
      <c r="E15" s="8" t="s">
        <v>173</v>
      </c>
      <c r="F15" s="5" t="s">
        <v>82</v>
      </c>
      <c r="G15" s="10" t="s">
        <v>160</v>
      </c>
      <c r="H15" s="24"/>
    </row>
    <row r="16" spans="1:8" x14ac:dyDescent="0.3">
      <c r="A16" s="5" t="s">
        <v>186</v>
      </c>
      <c r="B16" s="5" t="s">
        <v>187</v>
      </c>
      <c r="C16" s="5" t="s">
        <v>193</v>
      </c>
      <c r="D16" s="4" t="s">
        <v>227</v>
      </c>
      <c r="E16" s="8" t="s">
        <v>172</v>
      </c>
      <c r="F16" s="5" t="s">
        <v>86</v>
      </c>
      <c r="G16" s="10" t="s">
        <v>159</v>
      </c>
      <c r="H16" s="24"/>
    </row>
    <row r="17" spans="1:11" x14ac:dyDescent="0.3">
      <c r="A17" s="4">
        <v>1644</v>
      </c>
      <c r="B17" s="4" t="s">
        <v>22</v>
      </c>
      <c r="C17" s="4" t="s">
        <v>161</v>
      </c>
      <c r="D17" s="4" t="s">
        <v>227</v>
      </c>
      <c r="E17" s="8" t="s">
        <v>73</v>
      </c>
      <c r="F17" s="4" t="s">
        <v>84</v>
      </c>
      <c r="G17" s="10" t="s">
        <v>161</v>
      </c>
      <c r="H17" s="4" t="s">
        <v>6</v>
      </c>
    </row>
    <row r="18" spans="1:11" x14ac:dyDescent="0.3">
      <c r="A18" s="26">
        <v>1645</v>
      </c>
      <c r="B18" s="26" t="s">
        <v>23</v>
      </c>
      <c r="C18" s="26" t="s">
        <v>161</v>
      </c>
      <c r="D18" s="26" t="s">
        <v>227</v>
      </c>
      <c r="E18" s="29" t="s">
        <v>78</v>
      </c>
      <c r="F18" s="26" t="s">
        <v>83</v>
      </c>
      <c r="G18" s="30" t="s">
        <v>146</v>
      </c>
      <c r="H18" s="26" t="s">
        <v>7</v>
      </c>
    </row>
    <row r="19" spans="1:11" x14ac:dyDescent="0.3">
      <c r="A19" s="51">
        <v>1657</v>
      </c>
      <c r="B19" s="51" t="s">
        <v>128</v>
      </c>
      <c r="C19" s="26" t="s">
        <v>166</v>
      </c>
      <c r="D19" s="26" t="s">
        <v>227</v>
      </c>
      <c r="E19" s="29" t="s">
        <v>80</v>
      </c>
      <c r="F19" s="26" t="s">
        <v>86</v>
      </c>
      <c r="G19" s="30" t="s">
        <v>146</v>
      </c>
      <c r="H19" s="26" t="s">
        <v>130</v>
      </c>
    </row>
    <row r="20" spans="1:11" x14ac:dyDescent="0.3">
      <c r="A20" s="22">
        <v>1658</v>
      </c>
      <c r="B20" s="5" t="s">
        <v>129</v>
      </c>
      <c r="C20" s="9" t="s">
        <v>166</v>
      </c>
      <c r="D20" s="4" t="s">
        <v>227</v>
      </c>
      <c r="E20" s="8">
        <v>8108</v>
      </c>
      <c r="F20" s="9" t="s">
        <v>82</v>
      </c>
      <c r="G20" s="10" t="s">
        <v>159</v>
      </c>
      <c r="H20" s="9" t="s">
        <v>131</v>
      </c>
    </row>
    <row r="21" spans="1:11" x14ac:dyDescent="0.3">
      <c r="A21" s="4">
        <v>1659</v>
      </c>
      <c r="B21" s="4" t="s">
        <v>25</v>
      </c>
      <c r="C21" s="4" t="s">
        <v>160</v>
      </c>
      <c r="D21" s="4" t="s">
        <v>227</v>
      </c>
      <c r="E21" s="8" t="s">
        <v>79</v>
      </c>
      <c r="F21" s="4" t="s">
        <v>85</v>
      </c>
      <c r="G21" s="10" t="s">
        <v>159</v>
      </c>
      <c r="H21" s="4" t="s">
        <v>9</v>
      </c>
    </row>
    <row r="22" spans="1:11" x14ac:dyDescent="0.3">
      <c r="A22" s="22">
        <v>1666</v>
      </c>
      <c r="B22" s="5" t="s">
        <v>132</v>
      </c>
      <c r="C22" s="9" t="s">
        <v>166</v>
      </c>
      <c r="D22" s="4" t="s">
        <v>227</v>
      </c>
      <c r="E22" s="8">
        <v>8108</v>
      </c>
      <c r="F22" s="9" t="s">
        <v>82</v>
      </c>
      <c r="G22" s="10" t="s">
        <v>160</v>
      </c>
      <c r="H22" s="9" t="s">
        <v>133</v>
      </c>
    </row>
    <row r="23" spans="1:11" x14ac:dyDescent="0.3">
      <c r="A23" s="26">
        <v>1670</v>
      </c>
      <c r="B23" s="26" t="s">
        <v>31</v>
      </c>
      <c r="C23" s="26" t="s">
        <v>161</v>
      </c>
      <c r="D23" s="26" t="s">
        <v>227</v>
      </c>
      <c r="E23" s="29" t="s">
        <v>78</v>
      </c>
      <c r="F23" s="26" t="s">
        <v>83</v>
      </c>
      <c r="G23" s="30" t="s">
        <v>146</v>
      </c>
      <c r="H23" s="26" t="s">
        <v>14</v>
      </c>
      <c r="I23" s="15"/>
    </row>
    <row r="24" spans="1:11" x14ac:dyDescent="0.3">
      <c r="A24" s="26">
        <v>1708</v>
      </c>
      <c r="B24" s="26" t="s">
        <v>229</v>
      </c>
      <c r="C24" s="26" t="s">
        <v>230</v>
      </c>
      <c r="D24" s="26" t="s">
        <v>227</v>
      </c>
      <c r="E24" s="29" t="s">
        <v>231</v>
      </c>
      <c r="F24" s="26" t="s">
        <v>83</v>
      </c>
      <c r="G24" s="30" t="s">
        <v>146</v>
      </c>
      <c r="H24" s="26"/>
      <c r="I24" s="15"/>
    </row>
    <row r="25" spans="1:11" s="18" customFormat="1" x14ac:dyDescent="0.3">
      <c r="A25" s="4">
        <v>1715</v>
      </c>
      <c r="B25" s="4" t="s">
        <v>134</v>
      </c>
      <c r="C25" s="4" t="s">
        <v>166</v>
      </c>
      <c r="D25" s="4" t="s">
        <v>227</v>
      </c>
      <c r="E25" s="27" t="s">
        <v>80</v>
      </c>
      <c r="F25" s="4" t="s">
        <v>86</v>
      </c>
      <c r="G25" s="2" t="s">
        <v>158</v>
      </c>
      <c r="H25" s="4" t="s">
        <v>135</v>
      </c>
      <c r="I25" s="28"/>
      <c r="K25" s="14"/>
    </row>
    <row r="26" spans="1:11" x14ac:dyDescent="0.3">
      <c r="A26" s="26">
        <v>1718</v>
      </c>
      <c r="B26" s="26" t="s">
        <v>50</v>
      </c>
      <c r="C26" s="26" t="s">
        <v>167</v>
      </c>
      <c r="D26" s="26" t="s">
        <v>227</v>
      </c>
      <c r="E26" s="29" t="s">
        <v>75</v>
      </c>
      <c r="F26" s="26" t="s">
        <v>82</v>
      </c>
      <c r="G26" s="30" t="s">
        <v>146</v>
      </c>
      <c r="H26" s="26" t="s">
        <v>156</v>
      </c>
      <c r="I26" s="28"/>
      <c r="K26" s="15"/>
    </row>
    <row r="27" spans="1:11" x14ac:dyDescent="0.3">
      <c r="A27" s="51" t="s">
        <v>188</v>
      </c>
      <c r="B27" s="51" t="s">
        <v>189</v>
      </c>
      <c r="C27" s="51" t="s">
        <v>167</v>
      </c>
      <c r="D27" s="26" t="s">
        <v>227</v>
      </c>
      <c r="E27" s="29" t="s">
        <v>172</v>
      </c>
      <c r="F27" s="51" t="s">
        <v>86</v>
      </c>
      <c r="G27" s="30" t="s">
        <v>146</v>
      </c>
      <c r="H27" s="56"/>
      <c r="I27" s="20"/>
      <c r="J27" s="20"/>
    </row>
    <row r="28" spans="1:11" x14ac:dyDescent="0.3">
      <c r="A28" s="51" t="s">
        <v>190</v>
      </c>
      <c r="B28" s="51" t="s">
        <v>191</v>
      </c>
      <c r="C28" s="51" t="s">
        <v>167</v>
      </c>
      <c r="D28" s="26" t="s">
        <v>227</v>
      </c>
      <c r="E28" s="29" t="s">
        <v>172</v>
      </c>
      <c r="F28" s="51" t="s">
        <v>86</v>
      </c>
      <c r="G28" s="30" t="s">
        <v>146</v>
      </c>
      <c r="H28" s="56"/>
      <c r="I28" s="20"/>
    </row>
    <row r="29" spans="1:11" x14ac:dyDescent="0.3">
      <c r="A29" s="5">
        <v>2002</v>
      </c>
      <c r="B29" s="5" t="s">
        <v>207</v>
      </c>
      <c r="C29" s="5" t="s">
        <v>194</v>
      </c>
      <c r="D29" s="4" t="s">
        <v>227</v>
      </c>
      <c r="E29" s="8" t="s">
        <v>74</v>
      </c>
      <c r="F29" s="5" t="s">
        <v>83</v>
      </c>
      <c r="G29" s="10" t="s">
        <v>160</v>
      </c>
      <c r="H29" s="24"/>
      <c r="I29" s="20"/>
    </row>
    <row r="30" spans="1:11" x14ac:dyDescent="0.3">
      <c r="A30" s="4">
        <v>2003</v>
      </c>
      <c r="B30" s="4" t="s">
        <v>117</v>
      </c>
      <c r="C30" s="4" t="s">
        <v>161</v>
      </c>
      <c r="D30" s="4" t="s">
        <v>227</v>
      </c>
      <c r="E30" s="8">
        <v>8108</v>
      </c>
      <c r="F30" s="4" t="s">
        <v>82</v>
      </c>
      <c r="G30" s="10" t="s">
        <v>159</v>
      </c>
      <c r="H30" s="4"/>
      <c r="I30" s="20"/>
    </row>
    <row r="31" spans="1:11" x14ac:dyDescent="0.3">
      <c r="A31" s="26">
        <v>2006</v>
      </c>
      <c r="B31" s="26" t="s">
        <v>51</v>
      </c>
      <c r="C31" s="26" t="s">
        <v>159</v>
      </c>
      <c r="D31" s="26" t="s">
        <v>227</v>
      </c>
      <c r="E31" s="29" t="s">
        <v>78</v>
      </c>
      <c r="F31" s="26" t="s">
        <v>83</v>
      </c>
      <c r="G31" s="30" t="s">
        <v>146</v>
      </c>
      <c r="H31" s="26" t="s">
        <v>120</v>
      </c>
    </row>
    <row r="32" spans="1:11" x14ac:dyDescent="0.3">
      <c r="A32" s="26">
        <v>2012</v>
      </c>
      <c r="B32" s="26" t="s">
        <v>199</v>
      </c>
      <c r="C32" s="51" t="s">
        <v>160</v>
      </c>
      <c r="D32" s="26" t="s">
        <v>227</v>
      </c>
      <c r="E32" s="30" t="s">
        <v>201</v>
      </c>
      <c r="F32" s="26" t="s">
        <v>83</v>
      </c>
      <c r="G32" s="30" t="s">
        <v>146</v>
      </c>
      <c r="H32" s="26"/>
      <c r="I32" s="20"/>
    </row>
    <row r="33" spans="1:9" x14ac:dyDescent="0.3">
      <c r="A33" s="26">
        <v>2016</v>
      </c>
      <c r="B33" s="26" t="s">
        <v>136</v>
      </c>
      <c r="C33" s="26" t="s">
        <v>167</v>
      </c>
      <c r="D33" s="26" t="s">
        <v>227</v>
      </c>
      <c r="E33" s="29" t="s">
        <v>77</v>
      </c>
      <c r="F33" s="26" t="s">
        <v>82</v>
      </c>
      <c r="G33" s="30" t="s">
        <v>146</v>
      </c>
      <c r="H33" s="26" t="s">
        <v>137</v>
      </c>
    </row>
    <row r="34" spans="1:9" x14ac:dyDescent="0.3">
      <c r="A34" s="4">
        <v>2019</v>
      </c>
      <c r="B34" s="4" t="s">
        <v>36</v>
      </c>
      <c r="C34" s="4" t="s">
        <v>167</v>
      </c>
      <c r="D34" s="4" t="s">
        <v>227</v>
      </c>
      <c r="E34" s="8" t="s">
        <v>44</v>
      </c>
      <c r="F34" s="4" t="s">
        <v>148</v>
      </c>
      <c r="G34" s="2" t="s">
        <v>159</v>
      </c>
      <c r="H34" s="4" t="s">
        <v>19</v>
      </c>
    </row>
    <row r="35" spans="1:9" x14ac:dyDescent="0.3">
      <c r="A35" s="2" t="s">
        <v>81</v>
      </c>
      <c r="B35" s="2">
        <v>31</v>
      </c>
      <c r="C35" s="4"/>
      <c r="D35" s="4"/>
      <c r="E35" s="8"/>
      <c r="F35" s="4"/>
      <c r="G35" s="10"/>
      <c r="H35" s="16"/>
    </row>
    <row r="36" spans="1:9" x14ac:dyDescent="0.3">
      <c r="A36" s="2" t="s">
        <v>72</v>
      </c>
      <c r="B36" s="4"/>
      <c r="C36" s="4"/>
      <c r="D36" s="4"/>
      <c r="E36" s="8"/>
      <c r="F36" s="4"/>
      <c r="G36" s="10"/>
      <c r="H36" s="16"/>
    </row>
    <row r="37" spans="1:9" x14ac:dyDescent="0.3">
      <c r="A37" s="26">
        <v>601</v>
      </c>
      <c r="B37" s="26" t="s">
        <v>110</v>
      </c>
      <c r="C37" s="26" t="s">
        <v>163</v>
      </c>
      <c r="D37" s="26" t="s">
        <v>227</v>
      </c>
      <c r="E37" s="30" t="s">
        <v>68</v>
      </c>
      <c r="F37" s="26" t="s">
        <v>84</v>
      </c>
      <c r="G37" s="30" t="s">
        <v>146</v>
      </c>
      <c r="H37" s="56"/>
    </row>
    <row r="38" spans="1:9" x14ac:dyDescent="0.3">
      <c r="A38" s="4">
        <v>1395</v>
      </c>
      <c r="B38" s="4" t="s">
        <v>56</v>
      </c>
      <c r="C38" s="9" t="s">
        <v>160</v>
      </c>
      <c r="D38" s="4" t="s">
        <v>227</v>
      </c>
      <c r="E38" s="10" t="s">
        <v>65</v>
      </c>
      <c r="F38" s="9" t="s">
        <v>86</v>
      </c>
      <c r="G38" s="10" t="s">
        <v>248</v>
      </c>
      <c r="H38" s="9" t="s">
        <v>62</v>
      </c>
    </row>
    <row r="39" spans="1:9" x14ac:dyDescent="0.3">
      <c r="A39" s="4">
        <v>1453</v>
      </c>
      <c r="B39" s="4" t="s">
        <v>111</v>
      </c>
      <c r="C39" s="9" t="s">
        <v>160</v>
      </c>
      <c r="D39" s="4" t="s">
        <v>227</v>
      </c>
      <c r="E39" s="10" t="s">
        <v>65</v>
      </c>
      <c r="F39" s="9" t="s">
        <v>86</v>
      </c>
      <c r="G39" s="10" t="s">
        <v>160</v>
      </c>
      <c r="H39" s="24"/>
    </row>
    <row r="40" spans="1:9" x14ac:dyDescent="0.3">
      <c r="A40" s="4">
        <v>1457</v>
      </c>
      <c r="B40" s="9" t="s">
        <v>112</v>
      </c>
      <c r="C40" s="9" t="s">
        <v>167</v>
      </c>
      <c r="D40" s="4" t="s">
        <v>227</v>
      </c>
      <c r="E40" s="10" t="s">
        <v>66</v>
      </c>
      <c r="F40" s="9" t="s">
        <v>86</v>
      </c>
      <c r="G40" s="10" t="s">
        <v>159</v>
      </c>
      <c r="H40" s="16"/>
    </row>
    <row r="41" spans="1:9" x14ac:dyDescent="0.3">
      <c r="A41" s="26">
        <v>1547</v>
      </c>
      <c r="B41" s="26" t="s">
        <v>112</v>
      </c>
      <c r="C41" s="26" t="s">
        <v>160</v>
      </c>
      <c r="D41" s="26" t="s">
        <v>227</v>
      </c>
      <c r="E41" s="30" t="s">
        <v>66</v>
      </c>
      <c r="F41" s="26" t="s">
        <v>86</v>
      </c>
      <c r="G41" s="57" t="s">
        <v>146</v>
      </c>
      <c r="H41" s="56"/>
    </row>
    <row r="42" spans="1:9" x14ac:dyDescent="0.3">
      <c r="A42" s="4">
        <v>1554</v>
      </c>
      <c r="B42" s="4" t="s">
        <v>113</v>
      </c>
      <c r="C42" s="9" t="s">
        <v>166</v>
      </c>
      <c r="D42" s="4" t="s">
        <v>227</v>
      </c>
      <c r="E42" s="10" t="s">
        <v>66</v>
      </c>
      <c r="F42" s="9" t="s">
        <v>86</v>
      </c>
      <c r="G42" s="10" t="s">
        <v>160</v>
      </c>
      <c r="H42" s="16"/>
    </row>
    <row r="43" spans="1:9" x14ac:dyDescent="0.3">
      <c r="A43" s="4">
        <v>1555</v>
      </c>
      <c r="B43" s="4" t="s">
        <v>114</v>
      </c>
      <c r="C43" s="9" t="s">
        <v>160</v>
      </c>
      <c r="D43" s="4" t="s">
        <v>228</v>
      </c>
      <c r="E43" s="10" t="s">
        <v>67</v>
      </c>
      <c r="F43" s="9" t="s">
        <v>84</v>
      </c>
      <c r="G43" s="10" t="s">
        <v>159</v>
      </c>
      <c r="H43" s="24"/>
    </row>
    <row r="44" spans="1:9" x14ac:dyDescent="0.3">
      <c r="A44" s="4">
        <v>1556</v>
      </c>
      <c r="B44" s="4" t="s">
        <v>115</v>
      </c>
      <c r="C44" s="9" t="s">
        <v>166</v>
      </c>
      <c r="D44" s="4" t="s">
        <v>227</v>
      </c>
      <c r="E44" s="10" t="s">
        <v>66</v>
      </c>
      <c r="F44" s="9" t="s">
        <v>86</v>
      </c>
      <c r="G44" s="10" t="s">
        <v>160</v>
      </c>
      <c r="H44" s="16"/>
    </row>
    <row r="45" spans="1:9" x14ac:dyDescent="0.3">
      <c r="A45" s="4">
        <v>1592</v>
      </c>
      <c r="B45" s="4" t="s">
        <v>116</v>
      </c>
      <c r="C45" s="9" t="s">
        <v>166</v>
      </c>
      <c r="D45" s="4" t="s">
        <v>227</v>
      </c>
      <c r="E45" s="10" t="s">
        <v>66</v>
      </c>
      <c r="F45" s="9" t="s">
        <v>86</v>
      </c>
      <c r="G45" s="10" t="s">
        <v>248</v>
      </c>
      <c r="H45" s="16"/>
    </row>
    <row r="46" spans="1:9" x14ac:dyDescent="0.3">
      <c r="A46" s="4">
        <v>1621</v>
      </c>
      <c r="B46" s="4" t="s">
        <v>64</v>
      </c>
      <c r="C46" s="9" t="s">
        <v>160</v>
      </c>
      <c r="D46" s="4" t="s">
        <v>227</v>
      </c>
      <c r="E46" s="10" t="s">
        <v>68</v>
      </c>
      <c r="F46" s="9" t="s">
        <v>84</v>
      </c>
      <c r="G46" s="10" t="s">
        <v>159</v>
      </c>
      <c r="H46" s="24"/>
      <c r="I46" s="53" t="s">
        <v>233</v>
      </c>
    </row>
    <row r="47" spans="1:9" s="18" customFormat="1" x14ac:dyDescent="0.3">
      <c r="A47" s="2" t="s">
        <v>202</v>
      </c>
      <c r="B47" s="2">
        <v>10</v>
      </c>
      <c r="C47" s="14"/>
      <c r="F47" s="14"/>
      <c r="G47" s="23"/>
      <c r="H47" s="14"/>
    </row>
    <row r="48" spans="1:9" x14ac:dyDescent="0.3">
      <c r="A48" s="30" t="s">
        <v>203</v>
      </c>
      <c r="B48" s="30">
        <f>B47+B35</f>
        <v>41</v>
      </c>
      <c r="C48" s="17"/>
    </row>
    <row r="50" spans="1:4" x14ac:dyDescent="0.3">
      <c r="A50" s="11" t="s">
        <v>88</v>
      </c>
      <c r="B50" s="19" t="s">
        <v>234</v>
      </c>
      <c r="C50" s="19" t="s">
        <v>146</v>
      </c>
      <c r="D50" s="19" t="s">
        <v>145</v>
      </c>
    </row>
    <row r="51" spans="1:4" x14ac:dyDescent="0.3">
      <c r="A51" s="17">
        <v>8108</v>
      </c>
      <c r="B51" s="16">
        <v>3</v>
      </c>
      <c r="C51" s="16">
        <v>0</v>
      </c>
      <c r="D51" s="25">
        <f>C51/B51</f>
        <v>0</v>
      </c>
    </row>
    <row r="52" spans="1:4" x14ac:dyDescent="0.3">
      <c r="A52" s="17" t="s">
        <v>172</v>
      </c>
      <c r="B52" s="16">
        <v>4</v>
      </c>
      <c r="C52" s="16">
        <v>2</v>
      </c>
      <c r="D52" s="25">
        <f t="shared" ref="D52:D73" si="0">C52/B52</f>
        <v>0.5</v>
      </c>
    </row>
    <row r="53" spans="1:4" x14ac:dyDescent="0.3">
      <c r="A53" s="17" t="s">
        <v>75</v>
      </c>
      <c r="B53" s="16">
        <v>1</v>
      </c>
      <c r="C53" s="16">
        <v>1</v>
      </c>
      <c r="D53" s="25">
        <f t="shared" si="0"/>
        <v>1</v>
      </c>
    </row>
    <row r="54" spans="1:4" x14ac:dyDescent="0.3">
      <c r="A54" s="17" t="s">
        <v>205</v>
      </c>
      <c r="B54" s="16">
        <v>1</v>
      </c>
      <c r="C54" s="16">
        <v>0</v>
      </c>
      <c r="D54" s="25">
        <f t="shared" si="0"/>
        <v>0</v>
      </c>
    </row>
    <row r="55" spans="1:4" x14ac:dyDescent="0.3">
      <c r="A55" s="17" t="s">
        <v>195</v>
      </c>
      <c r="B55" s="16">
        <v>1</v>
      </c>
      <c r="C55" s="16">
        <v>0</v>
      </c>
      <c r="D55" s="25">
        <f t="shared" si="0"/>
        <v>0</v>
      </c>
    </row>
    <row r="56" spans="1:4" x14ac:dyDescent="0.3">
      <c r="A56" s="17" t="s">
        <v>45</v>
      </c>
      <c r="B56" s="16">
        <v>2</v>
      </c>
      <c r="C56" s="16">
        <v>0</v>
      </c>
      <c r="D56" s="25">
        <f t="shared" si="0"/>
        <v>0</v>
      </c>
    </row>
    <row r="57" spans="1:4" x14ac:dyDescent="0.3">
      <c r="A57" s="11" t="s">
        <v>66</v>
      </c>
      <c r="B57" s="16">
        <v>5</v>
      </c>
      <c r="C57" s="16">
        <v>1</v>
      </c>
      <c r="D57" s="25">
        <f t="shared" si="0"/>
        <v>0.2</v>
      </c>
    </row>
    <row r="58" spans="1:4" x14ac:dyDescent="0.3">
      <c r="A58" s="11" t="s">
        <v>68</v>
      </c>
      <c r="B58" s="16">
        <v>2</v>
      </c>
      <c r="C58" s="16">
        <v>1</v>
      </c>
      <c r="D58" s="25">
        <f t="shared" si="0"/>
        <v>0.5</v>
      </c>
    </row>
    <row r="59" spans="1:4" x14ac:dyDescent="0.3">
      <c r="A59" s="17" t="s">
        <v>192</v>
      </c>
      <c r="B59" s="16">
        <v>1</v>
      </c>
      <c r="C59" s="16">
        <v>0</v>
      </c>
      <c r="D59" s="25">
        <f t="shared" si="0"/>
        <v>0</v>
      </c>
    </row>
    <row r="60" spans="1:4" x14ac:dyDescent="0.3">
      <c r="A60" s="11" t="s">
        <v>67</v>
      </c>
      <c r="B60" s="16">
        <v>1</v>
      </c>
      <c r="C60" s="16">
        <v>0</v>
      </c>
      <c r="D60" s="25">
        <f t="shared" si="0"/>
        <v>0</v>
      </c>
    </row>
    <row r="61" spans="1:4" x14ac:dyDescent="0.3">
      <c r="A61" s="17" t="s">
        <v>79</v>
      </c>
      <c r="B61" s="16">
        <v>1</v>
      </c>
      <c r="C61" s="16">
        <v>0</v>
      </c>
      <c r="D61" s="25">
        <f t="shared" si="0"/>
        <v>0</v>
      </c>
    </row>
    <row r="62" spans="1:4" x14ac:dyDescent="0.3">
      <c r="A62" s="17" t="s">
        <v>206</v>
      </c>
      <c r="B62" s="16">
        <v>2</v>
      </c>
      <c r="C62" s="16">
        <v>1</v>
      </c>
      <c r="D62" s="25">
        <f t="shared" si="0"/>
        <v>0.5</v>
      </c>
    </row>
    <row r="63" spans="1:4" x14ac:dyDescent="0.3">
      <c r="A63" s="17" t="s">
        <v>53</v>
      </c>
      <c r="B63" s="16">
        <v>1</v>
      </c>
      <c r="C63" s="16">
        <v>0</v>
      </c>
      <c r="D63" s="25">
        <f t="shared" si="0"/>
        <v>0</v>
      </c>
    </row>
    <row r="64" spans="1:4" x14ac:dyDescent="0.3">
      <c r="A64" s="17" t="s">
        <v>201</v>
      </c>
      <c r="B64" s="16">
        <v>2</v>
      </c>
      <c r="C64" s="16">
        <v>1</v>
      </c>
      <c r="D64" s="25">
        <f t="shared" si="0"/>
        <v>0.5</v>
      </c>
    </row>
    <row r="65" spans="1:8" x14ac:dyDescent="0.3">
      <c r="A65" s="17" t="s">
        <v>77</v>
      </c>
      <c r="B65" s="16">
        <v>2</v>
      </c>
      <c r="C65" s="16">
        <v>2</v>
      </c>
      <c r="D65" s="25">
        <f t="shared" si="0"/>
        <v>1</v>
      </c>
    </row>
    <row r="66" spans="1:8" x14ac:dyDescent="0.3">
      <c r="A66" s="17" t="s">
        <v>74</v>
      </c>
      <c r="B66" s="16">
        <v>1</v>
      </c>
      <c r="C66" s="16">
        <v>0</v>
      </c>
      <c r="D66" s="25">
        <f t="shared" si="0"/>
        <v>0</v>
      </c>
    </row>
    <row r="67" spans="1:8" x14ac:dyDescent="0.3">
      <c r="A67" s="11" t="s">
        <v>65</v>
      </c>
      <c r="B67" s="16">
        <v>2</v>
      </c>
      <c r="C67" s="16">
        <v>0</v>
      </c>
      <c r="D67" s="25">
        <f t="shared" si="0"/>
        <v>0</v>
      </c>
    </row>
    <row r="68" spans="1:8" x14ac:dyDescent="0.3">
      <c r="A68" s="17" t="s">
        <v>78</v>
      </c>
      <c r="B68" s="16">
        <v>3</v>
      </c>
      <c r="C68" s="16">
        <v>3</v>
      </c>
      <c r="D68" s="25">
        <f t="shared" si="0"/>
        <v>1</v>
      </c>
    </row>
    <row r="69" spans="1:8" x14ac:dyDescent="0.3">
      <c r="A69" s="17" t="s">
        <v>173</v>
      </c>
      <c r="B69" s="16">
        <v>2</v>
      </c>
      <c r="C69" s="16">
        <v>0</v>
      </c>
      <c r="D69" s="25">
        <f t="shared" si="0"/>
        <v>0</v>
      </c>
    </row>
    <row r="70" spans="1:8" x14ac:dyDescent="0.3">
      <c r="A70" s="17" t="s">
        <v>73</v>
      </c>
      <c r="B70" s="16">
        <v>1</v>
      </c>
      <c r="C70" s="16">
        <v>0</v>
      </c>
      <c r="D70" s="25">
        <f t="shared" si="0"/>
        <v>0</v>
      </c>
    </row>
    <row r="71" spans="1:8" x14ac:dyDescent="0.3">
      <c r="A71" s="17" t="s">
        <v>76</v>
      </c>
      <c r="B71" s="16">
        <v>2</v>
      </c>
      <c r="C71" s="16">
        <v>0</v>
      </c>
      <c r="D71" s="25">
        <f t="shared" si="0"/>
        <v>0</v>
      </c>
    </row>
    <row r="72" spans="1:8" x14ac:dyDescent="0.3">
      <c r="A72" s="17" t="s">
        <v>232</v>
      </c>
      <c r="B72" s="16">
        <v>1</v>
      </c>
      <c r="C72" s="16">
        <v>1</v>
      </c>
      <c r="D72" s="25">
        <f t="shared" si="0"/>
        <v>1</v>
      </c>
    </row>
    <row r="73" spans="1:8" s="13" customFormat="1" x14ac:dyDescent="0.3">
      <c r="A73" s="12" t="s">
        <v>81</v>
      </c>
      <c r="B73" s="12">
        <f>SUM(B51:B72)</f>
        <v>41</v>
      </c>
      <c r="C73" s="12">
        <f>SUM(C51:C72)</f>
        <v>13</v>
      </c>
      <c r="D73" s="54">
        <f t="shared" si="0"/>
        <v>0.31707317073170732</v>
      </c>
      <c r="F73" s="33"/>
      <c r="G73" s="52"/>
      <c r="H73" s="33"/>
    </row>
    <row r="74" spans="1:8" s="59" customFormat="1" x14ac:dyDescent="0.3">
      <c r="A74" s="11"/>
      <c r="B74" s="11"/>
      <c r="C74" s="11"/>
      <c r="D74" s="58"/>
      <c r="F74" s="60"/>
      <c r="G74" s="23"/>
      <c r="H74" s="60"/>
    </row>
    <row r="75" spans="1:8" x14ac:dyDescent="0.3">
      <c r="A75" s="2" t="s">
        <v>198</v>
      </c>
      <c r="B75" s="2">
        <v>31</v>
      </c>
      <c r="C75" s="10">
        <v>13</v>
      </c>
      <c r="D75" s="31">
        <f>C75/B75</f>
        <v>0.41935483870967744</v>
      </c>
    </row>
    <row r="76" spans="1:8" x14ac:dyDescent="0.3">
      <c r="A76" s="2" t="s">
        <v>72</v>
      </c>
      <c r="B76" s="2">
        <v>10</v>
      </c>
      <c r="C76" s="10">
        <v>2</v>
      </c>
      <c r="D76" s="31">
        <f t="shared" ref="D76:D77" si="1">C76/B76</f>
        <v>0.2</v>
      </c>
    </row>
    <row r="77" spans="1:8" x14ac:dyDescent="0.3">
      <c r="A77" s="30" t="s">
        <v>81</v>
      </c>
      <c r="B77" s="30">
        <f>SUM(B75:B76)</f>
        <v>41</v>
      </c>
      <c r="C77" s="30">
        <f>SUM(C75:C76)</f>
        <v>15</v>
      </c>
      <c r="D77" s="32">
        <f t="shared" si="1"/>
        <v>0.36585365853658536</v>
      </c>
    </row>
  </sheetData>
  <autoFilter ref="A1:H48" xr:uid="{CF5F8FEA-9D19-4B7F-AD0A-D3AE37DBFB53}"/>
  <sortState xmlns:xlrd2="http://schemas.microsoft.com/office/spreadsheetml/2017/richdata2" ref="A37:H46">
    <sortCondition ref="A37:A46"/>
  </sortState>
  <pageMargins left="0.511811024" right="0.511811024" top="0.78740157499999996" bottom="0.78740157499999996" header="0.31496062000000002" footer="0.31496062000000002"/>
  <pageSetup paperSize="9" scale="65" fitToHeight="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CA6C-8ABD-47E9-9C59-0F55A7656DCD}">
  <sheetPr>
    <pageSetUpPr fitToPage="1"/>
  </sheetPr>
  <dimension ref="A1:I88"/>
  <sheetViews>
    <sheetView topLeftCell="A47" workbookViewId="0">
      <selection activeCell="H63" sqref="H63"/>
    </sheetView>
  </sheetViews>
  <sheetFormatPr defaultRowHeight="14.4" x14ac:dyDescent="0.3"/>
  <cols>
    <col min="1" max="1" width="16.109375" customWidth="1"/>
    <col min="2" max="2" width="11.5546875" customWidth="1"/>
    <col min="3" max="3" width="17.44140625" style="52" customWidth="1"/>
    <col min="4" max="4" width="11.5546875" customWidth="1"/>
    <col min="5" max="5" width="16.109375" style="13" bestFit="1" customWidth="1"/>
    <col min="6" max="6" width="9.88671875" bestFit="1" customWidth="1"/>
    <col min="7" max="7" width="16.77734375" style="13" bestFit="1" customWidth="1"/>
    <col min="8" max="8" width="10.6640625" bestFit="1" customWidth="1"/>
    <col min="9" max="9" width="8.88671875" style="18"/>
  </cols>
  <sheetData>
    <row r="1" spans="1:8" s="18" customFormat="1" x14ac:dyDescent="0.3">
      <c r="A1" s="1" t="s">
        <v>0</v>
      </c>
      <c r="B1" s="2" t="s">
        <v>1</v>
      </c>
      <c r="C1" s="2" t="s">
        <v>249</v>
      </c>
      <c r="D1" s="2" t="s">
        <v>250</v>
      </c>
      <c r="E1" s="3" t="s">
        <v>251</v>
      </c>
      <c r="F1" s="3" t="s">
        <v>2</v>
      </c>
      <c r="G1" s="2" t="s">
        <v>223</v>
      </c>
      <c r="H1" s="2" t="s">
        <v>4</v>
      </c>
    </row>
    <row r="2" spans="1:8" s="18" customFormat="1" x14ac:dyDescent="0.3">
      <c r="A2" s="47">
        <v>1296</v>
      </c>
      <c r="B2" s="26" t="s">
        <v>235</v>
      </c>
      <c r="C2" s="26" t="s">
        <v>160</v>
      </c>
      <c r="D2" s="26" t="s">
        <v>227</v>
      </c>
      <c r="E2" s="30" t="s">
        <v>212</v>
      </c>
      <c r="F2" s="26" t="s">
        <v>216</v>
      </c>
      <c r="G2" s="30" t="s">
        <v>146</v>
      </c>
      <c r="H2" s="26" t="s">
        <v>219</v>
      </c>
    </row>
    <row r="3" spans="1:8" s="18" customFormat="1" x14ac:dyDescent="0.3">
      <c r="A3" s="47" t="s">
        <v>46</v>
      </c>
      <c r="B3" s="26" t="s">
        <v>48</v>
      </c>
      <c r="C3" s="26" t="s">
        <v>160</v>
      </c>
      <c r="D3" s="26" t="s">
        <v>227</v>
      </c>
      <c r="E3" s="30" t="s">
        <v>237</v>
      </c>
      <c r="F3" s="26" t="s">
        <v>148</v>
      </c>
      <c r="G3" s="48" t="s">
        <v>146</v>
      </c>
      <c r="H3" s="26" t="s">
        <v>155</v>
      </c>
    </row>
    <row r="4" spans="1:8" s="18" customFormat="1" x14ac:dyDescent="0.3">
      <c r="A4" s="6" t="s">
        <v>245</v>
      </c>
      <c r="B4" s="4" t="s">
        <v>246</v>
      </c>
      <c r="C4" s="4" t="s">
        <v>248</v>
      </c>
      <c r="D4" s="4" t="s">
        <v>276</v>
      </c>
      <c r="E4" s="2"/>
      <c r="F4" s="4"/>
      <c r="G4" s="3" t="s">
        <v>193</v>
      </c>
      <c r="H4" s="4"/>
    </row>
    <row r="5" spans="1:8" s="18" customFormat="1" x14ac:dyDescent="0.3">
      <c r="A5" s="6" t="s">
        <v>238</v>
      </c>
      <c r="B5" s="4" t="s">
        <v>239</v>
      </c>
      <c r="C5" s="4" t="s">
        <v>161</v>
      </c>
      <c r="D5" s="4" t="s">
        <v>227</v>
      </c>
      <c r="E5" s="2" t="s">
        <v>75</v>
      </c>
      <c r="F5" s="4" t="s">
        <v>82</v>
      </c>
      <c r="G5" s="3" t="s">
        <v>307</v>
      </c>
      <c r="H5" s="4"/>
    </row>
    <row r="6" spans="1:8" s="18" customFormat="1" x14ac:dyDescent="0.3">
      <c r="A6" s="47" t="s">
        <v>122</v>
      </c>
      <c r="B6" s="26" t="s">
        <v>123</v>
      </c>
      <c r="C6" s="26" t="s">
        <v>159</v>
      </c>
      <c r="D6" s="26" t="s">
        <v>227</v>
      </c>
      <c r="E6" s="30" t="s">
        <v>242</v>
      </c>
      <c r="F6" s="26" t="s">
        <v>148</v>
      </c>
      <c r="G6" s="48" t="s">
        <v>146</v>
      </c>
      <c r="H6" s="26" t="s">
        <v>126</v>
      </c>
    </row>
    <row r="7" spans="1:8" s="18" customFormat="1" x14ac:dyDescent="0.3">
      <c r="A7" s="6" t="s">
        <v>255</v>
      </c>
      <c r="B7" s="4" t="s">
        <v>260</v>
      </c>
      <c r="C7" s="4" t="s">
        <v>160</v>
      </c>
      <c r="D7" s="4" t="s">
        <v>227</v>
      </c>
      <c r="E7" s="2" t="s">
        <v>45</v>
      </c>
      <c r="F7" s="4" t="s">
        <v>82</v>
      </c>
      <c r="G7" s="3" t="s">
        <v>160</v>
      </c>
      <c r="H7" s="4"/>
    </row>
    <row r="8" spans="1:8" s="18" customFormat="1" x14ac:dyDescent="0.3">
      <c r="A8" s="47" t="s">
        <v>259</v>
      </c>
      <c r="B8" s="26" t="s">
        <v>261</v>
      </c>
      <c r="C8" s="26" t="s">
        <v>159</v>
      </c>
      <c r="D8" s="26" t="s">
        <v>227</v>
      </c>
      <c r="E8" s="30" t="s">
        <v>45</v>
      </c>
      <c r="F8" s="26" t="s">
        <v>82</v>
      </c>
      <c r="G8" s="48" t="s">
        <v>146</v>
      </c>
      <c r="H8" s="26"/>
    </row>
    <row r="9" spans="1:8" s="18" customFormat="1" x14ac:dyDescent="0.3">
      <c r="A9" s="47" t="s">
        <v>243</v>
      </c>
      <c r="B9" s="26" t="s">
        <v>244</v>
      </c>
      <c r="C9" s="26" t="s">
        <v>161</v>
      </c>
      <c r="D9" s="26" t="s">
        <v>227</v>
      </c>
      <c r="E9" s="30" t="s">
        <v>75</v>
      </c>
      <c r="F9" s="26" t="s">
        <v>236</v>
      </c>
      <c r="G9" s="48" t="s">
        <v>146</v>
      </c>
      <c r="H9" s="26"/>
    </row>
    <row r="10" spans="1:8" s="18" customFormat="1" x14ac:dyDescent="0.3">
      <c r="A10" s="26">
        <v>1503</v>
      </c>
      <c r="B10" s="26" t="s">
        <v>218</v>
      </c>
      <c r="C10" s="26" t="s">
        <v>159</v>
      </c>
      <c r="D10" s="26" t="s">
        <v>227</v>
      </c>
      <c r="E10" s="30" t="s">
        <v>215</v>
      </c>
      <c r="F10" s="26" t="s">
        <v>217</v>
      </c>
      <c r="G10" s="30" t="s">
        <v>146</v>
      </c>
      <c r="H10" s="26"/>
    </row>
    <row r="11" spans="1:8" s="18" customFormat="1" x14ac:dyDescent="0.3">
      <c r="A11" s="6" t="s">
        <v>124</v>
      </c>
      <c r="B11" s="4" t="s">
        <v>125</v>
      </c>
      <c r="C11" s="4" t="s">
        <v>248</v>
      </c>
      <c r="D11" s="4" t="s">
        <v>276</v>
      </c>
      <c r="E11" s="3"/>
      <c r="F11" s="7" t="s">
        <v>82</v>
      </c>
      <c r="G11" s="3" t="s">
        <v>167</v>
      </c>
      <c r="H11" s="4" t="s">
        <v>127</v>
      </c>
    </row>
    <row r="12" spans="1:8" s="18" customFormat="1" x14ac:dyDescent="0.3">
      <c r="A12" s="47" t="s">
        <v>273</v>
      </c>
      <c r="B12" s="26" t="s">
        <v>274</v>
      </c>
      <c r="C12" s="26" t="s">
        <v>159</v>
      </c>
      <c r="D12" s="26" t="s">
        <v>227</v>
      </c>
      <c r="E12" s="48" t="s">
        <v>172</v>
      </c>
      <c r="F12" s="49" t="s">
        <v>86</v>
      </c>
      <c r="G12" s="48" t="s">
        <v>146</v>
      </c>
      <c r="H12" s="26"/>
    </row>
    <row r="13" spans="1:8" s="18" customFormat="1" x14ac:dyDescent="0.3">
      <c r="A13" s="47" t="s">
        <v>256</v>
      </c>
      <c r="B13" s="26" t="s">
        <v>262</v>
      </c>
      <c r="C13" s="26" t="s">
        <v>161</v>
      </c>
      <c r="D13" s="26" t="s">
        <v>227</v>
      </c>
      <c r="E13" s="48" t="s">
        <v>205</v>
      </c>
      <c r="F13" s="49" t="s">
        <v>148</v>
      </c>
      <c r="G13" s="48" t="s">
        <v>146</v>
      </c>
      <c r="H13" s="26"/>
    </row>
    <row r="14" spans="1:8" s="18" customFormat="1" x14ac:dyDescent="0.3">
      <c r="A14" s="47" t="s">
        <v>257</v>
      </c>
      <c r="B14" s="26" t="s">
        <v>263</v>
      </c>
      <c r="C14" s="26" t="s">
        <v>159</v>
      </c>
      <c r="D14" s="26" t="s">
        <v>227</v>
      </c>
      <c r="E14" s="48" t="s">
        <v>237</v>
      </c>
      <c r="F14" s="49" t="s">
        <v>148</v>
      </c>
      <c r="G14" s="48" t="s">
        <v>146</v>
      </c>
      <c r="H14" s="26"/>
    </row>
    <row r="15" spans="1:8" s="18" customFormat="1" x14ac:dyDescent="0.3">
      <c r="A15" s="6" t="s">
        <v>258</v>
      </c>
      <c r="B15" s="4" t="s">
        <v>264</v>
      </c>
      <c r="C15" s="4" t="s">
        <v>159</v>
      </c>
      <c r="D15" s="4" t="s">
        <v>227</v>
      </c>
      <c r="E15" s="3" t="s">
        <v>205</v>
      </c>
      <c r="F15" s="7" t="s">
        <v>148</v>
      </c>
      <c r="G15" s="3" t="s">
        <v>307</v>
      </c>
      <c r="H15" s="4"/>
    </row>
    <row r="16" spans="1:8" s="18" customFormat="1" x14ac:dyDescent="0.3">
      <c r="A16" s="22" t="s">
        <v>168</v>
      </c>
      <c r="B16" s="22" t="s">
        <v>169</v>
      </c>
      <c r="C16" s="4" t="s">
        <v>159</v>
      </c>
      <c r="D16" s="22" t="s">
        <v>227</v>
      </c>
      <c r="E16" s="27" t="s">
        <v>45</v>
      </c>
      <c r="F16" s="22" t="s">
        <v>82</v>
      </c>
      <c r="G16" s="27" t="s">
        <v>308</v>
      </c>
      <c r="H16" s="61"/>
    </row>
    <row r="17" spans="1:8" s="18" customFormat="1" x14ac:dyDescent="0.3">
      <c r="A17" s="51" t="s">
        <v>170</v>
      </c>
      <c r="B17" s="51" t="s">
        <v>171</v>
      </c>
      <c r="C17" s="26" t="s">
        <v>160</v>
      </c>
      <c r="D17" s="51" t="s">
        <v>227</v>
      </c>
      <c r="E17" s="29" t="s">
        <v>172</v>
      </c>
      <c r="F17" s="51" t="s">
        <v>86</v>
      </c>
      <c r="G17" s="29" t="s">
        <v>146</v>
      </c>
      <c r="H17" s="26"/>
    </row>
    <row r="18" spans="1:8" s="18" customFormat="1" x14ac:dyDescent="0.3">
      <c r="A18" s="22">
        <v>1573</v>
      </c>
      <c r="B18" s="22" t="s">
        <v>265</v>
      </c>
      <c r="C18" s="4" t="s">
        <v>161</v>
      </c>
      <c r="D18" s="22" t="s">
        <v>227</v>
      </c>
      <c r="E18" s="27" t="s">
        <v>237</v>
      </c>
      <c r="F18" s="22" t="s">
        <v>148</v>
      </c>
      <c r="G18" s="27" t="s">
        <v>159</v>
      </c>
      <c r="H18" s="4"/>
    </row>
    <row r="19" spans="1:8" s="18" customFormat="1" x14ac:dyDescent="0.3">
      <c r="A19" s="4">
        <v>1577</v>
      </c>
      <c r="B19" s="4" t="s">
        <v>200</v>
      </c>
      <c r="C19" s="4" t="s">
        <v>160</v>
      </c>
      <c r="D19" s="4" t="s">
        <v>227</v>
      </c>
      <c r="E19" s="27" t="s">
        <v>201</v>
      </c>
      <c r="F19" s="4" t="s">
        <v>83</v>
      </c>
      <c r="G19" s="27" t="s">
        <v>161</v>
      </c>
      <c r="H19" s="17"/>
    </row>
    <row r="20" spans="1:8" s="18" customFormat="1" x14ac:dyDescent="0.3">
      <c r="A20" s="4">
        <v>1588</v>
      </c>
      <c r="B20" s="4" t="s">
        <v>39</v>
      </c>
      <c r="C20" s="4" t="s">
        <v>159</v>
      </c>
      <c r="D20" s="4" t="s">
        <v>227</v>
      </c>
      <c r="E20" s="27" t="s">
        <v>76</v>
      </c>
      <c r="F20" s="4" t="s">
        <v>82</v>
      </c>
      <c r="G20" s="27" t="s">
        <v>159</v>
      </c>
      <c r="H20" s="4"/>
    </row>
    <row r="21" spans="1:8" s="18" customFormat="1" x14ac:dyDescent="0.3">
      <c r="A21" s="4">
        <v>1589</v>
      </c>
      <c r="B21" s="4" t="s">
        <v>266</v>
      </c>
      <c r="C21" s="4" t="s">
        <v>160</v>
      </c>
      <c r="D21" s="4" t="s">
        <v>227</v>
      </c>
      <c r="E21" s="27" t="s">
        <v>172</v>
      </c>
      <c r="F21" s="4" t="s">
        <v>86</v>
      </c>
      <c r="G21" s="27" t="s">
        <v>308</v>
      </c>
      <c r="H21" s="4"/>
    </row>
    <row r="22" spans="1:8" s="28" customFormat="1" ht="13.8" x14ac:dyDescent="0.25">
      <c r="A22" s="26">
        <v>1593</v>
      </c>
      <c r="B22" s="26" t="s">
        <v>40</v>
      </c>
      <c r="C22" s="26" t="s">
        <v>160</v>
      </c>
      <c r="D22" s="26" t="s">
        <v>227</v>
      </c>
      <c r="E22" s="29" t="s">
        <v>53</v>
      </c>
      <c r="F22" s="26" t="s">
        <v>85</v>
      </c>
      <c r="G22" s="29" t="s">
        <v>146</v>
      </c>
      <c r="H22" s="26"/>
    </row>
    <row r="23" spans="1:8" s="28" customFormat="1" ht="13.8" x14ac:dyDescent="0.25">
      <c r="A23" s="4">
        <v>1595</v>
      </c>
      <c r="B23" s="4" t="s">
        <v>267</v>
      </c>
      <c r="C23" s="4" t="s">
        <v>160</v>
      </c>
      <c r="D23" s="4" t="s">
        <v>227</v>
      </c>
      <c r="E23" s="27" t="s">
        <v>172</v>
      </c>
      <c r="F23" s="4" t="s">
        <v>86</v>
      </c>
      <c r="G23" s="27" t="s">
        <v>308</v>
      </c>
      <c r="H23" s="4"/>
    </row>
    <row r="24" spans="1:8" s="18" customFormat="1" x14ac:dyDescent="0.3">
      <c r="A24" s="51" t="s">
        <v>176</v>
      </c>
      <c r="B24" s="51" t="s">
        <v>177</v>
      </c>
      <c r="C24" s="26" t="s">
        <v>159</v>
      </c>
      <c r="D24" s="51" t="s">
        <v>227</v>
      </c>
      <c r="E24" s="29" t="s">
        <v>192</v>
      </c>
      <c r="F24" s="51" t="s">
        <v>85</v>
      </c>
      <c r="G24" s="29" t="s">
        <v>146</v>
      </c>
      <c r="H24" s="56"/>
    </row>
    <row r="25" spans="1:8" s="18" customFormat="1" x14ac:dyDescent="0.3">
      <c r="A25" s="51" t="s">
        <v>178</v>
      </c>
      <c r="B25" s="51" t="s">
        <v>179</v>
      </c>
      <c r="C25" s="26" t="s">
        <v>159</v>
      </c>
      <c r="D25" s="51" t="s">
        <v>227</v>
      </c>
      <c r="E25" s="29" t="s">
        <v>173</v>
      </c>
      <c r="F25" s="51" t="s">
        <v>82</v>
      </c>
      <c r="G25" s="29" t="s">
        <v>146</v>
      </c>
      <c r="H25" s="56"/>
    </row>
    <row r="26" spans="1:8" s="45" customFormat="1" x14ac:dyDescent="0.3">
      <c r="A26" s="22" t="s">
        <v>180</v>
      </c>
      <c r="B26" s="22" t="s">
        <v>181</v>
      </c>
      <c r="C26" s="4" t="s">
        <v>247</v>
      </c>
      <c r="D26" s="22" t="s">
        <v>276</v>
      </c>
      <c r="E26" s="27"/>
      <c r="F26" s="22" t="s">
        <v>82</v>
      </c>
      <c r="G26" s="27" t="s">
        <v>308</v>
      </c>
      <c r="H26" s="61"/>
    </row>
    <row r="27" spans="1:8" s="45" customFormat="1" x14ac:dyDescent="0.3">
      <c r="A27" s="22" t="s">
        <v>182</v>
      </c>
      <c r="B27" s="22" t="s">
        <v>183</v>
      </c>
      <c r="C27" s="4" t="s">
        <v>159</v>
      </c>
      <c r="D27" s="22" t="s">
        <v>227</v>
      </c>
      <c r="E27" s="27" t="s">
        <v>195</v>
      </c>
      <c r="F27" s="22" t="s">
        <v>196</v>
      </c>
      <c r="G27" s="27" t="s">
        <v>308</v>
      </c>
      <c r="H27" s="61"/>
    </row>
    <row r="28" spans="1:8" s="45" customFormat="1" x14ac:dyDescent="0.3">
      <c r="A28" s="22" t="s">
        <v>184</v>
      </c>
      <c r="B28" s="22" t="s">
        <v>185</v>
      </c>
      <c r="C28" s="4" t="s">
        <v>160</v>
      </c>
      <c r="D28" s="22" t="s">
        <v>227</v>
      </c>
      <c r="E28" s="27" t="s">
        <v>173</v>
      </c>
      <c r="F28" s="22" t="s">
        <v>82</v>
      </c>
      <c r="G28" s="27" t="s">
        <v>308</v>
      </c>
      <c r="H28" s="61"/>
    </row>
    <row r="29" spans="1:8" s="45" customFormat="1" x14ac:dyDescent="0.3">
      <c r="A29" s="22" t="s">
        <v>186</v>
      </c>
      <c r="B29" s="22" t="s">
        <v>187</v>
      </c>
      <c r="C29" s="4" t="s">
        <v>159</v>
      </c>
      <c r="D29" s="22" t="s">
        <v>227</v>
      </c>
      <c r="E29" s="27" t="s">
        <v>172</v>
      </c>
      <c r="F29" s="22" t="s">
        <v>86</v>
      </c>
      <c r="G29" s="27" t="s">
        <v>160</v>
      </c>
      <c r="H29" s="61"/>
    </row>
    <row r="30" spans="1:8" s="45" customFormat="1" ht="13.8" x14ac:dyDescent="0.25">
      <c r="A30" s="4">
        <v>1644</v>
      </c>
      <c r="B30" s="4" t="s">
        <v>22</v>
      </c>
      <c r="C30" s="4" t="s">
        <v>161</v>
      </c>
      <c r="D30" s="4" t="s">
        <v>227</v>
      </c>
      <c r="E30" s="27" t="s">
        <v>73</v>
      </c>
      <c r="F30" s="4" t="s">
        <v>84</v>
      </c>
      <c r="G30" s="27" t="s">
        <v>159</v>
      </c>
      <c r="H30" s="4" t="s">
        <v>6</v>
      </c>
    </row>
    <row r="31" spans="1:8" s="45" customFormat="1" ht="13.8" x14ac:dyDescent="0.25">
      <c r="A31" s="6" t="s">
        <v>149</v>
      </c>
      <c r="B31" s="4" t="s">
        <v>150</v>
      </c>
      <c r="C31" s="4" t="s">
        <v>164</v>
      </c>
      <c r="D31" s="4" t="s">
        <v>276</v>
      </c>
      <c r="E31" s="2"/>
      <c r="F31" s="4"/>
      <c r="G31" s="3" t="s">
        <v>164</v>
      </c>
      <c r="H31" s="4" t="s">
        <v>154</v>
      </c>
    </row>
    <row r="32" spans="1:8" s="18" customFormat="1" x14ac:dyDescent="0.3">
      <c r="A32" s="4">
        <v>1656</v>
      </c>
      <c r="B32" s="4" t="s">
        <v>24</v>
      </c>
      <c r="C32" s="4" t="s">
        <v>164</v>
      </c>
      <c r="D32" s="4" t="s">
        <v>276</v>
      </c>
      <c r="E32" s="2"/>
      <c r="F32" s="4"/>
      <c r="G32" s="27" t="s">
        <v>160</v>
      </c>
      <c r="H32" s="4" t="s">
        <v>8</v>
      </c>
    </row>
    <row r="33" spans="1:8" s="18" customFormat="1" x14ac:dyDescent="0.3">
      <c r="A33" s="22">
        <v>1658</v>
      </c>
      <c r="B33" s="22" t="s">
        <v>129</v>
      </c>
      <c r="C33" s="4" t="s">
        <v>159</v>
      </c>
      <c r="D33" s="22" t="s">
        <v>227</v>
      </c>
      <c r="E33" s="27">
        <v>8108</v>
      </c>
      <c r="F33" s="4" t="s">
        <v>82</v>
      </c>
      <c r="G33" s="27" t="s">
        <v>158</v>
      </c>
      <c r="H33" s="4" t="s">
        <v>131</v>
      </c>
    </row>
    <row r="34" spans="1:8" s="18" customFormat="1" x14ac:dyDescent="0.3">
      <c r="A34" s="4">
        <v>1659</v>
      </c>
      <c r="B34" s="4" t="s">
        <v>25</v>
      </c>
      <c r="C34" s="4" t="s">
        <v>159</v>
      </c>
      <c r="D34" s="4" t="s">
        <v>227</v>
      </c>
      <c r="E34" s="27" t="s">
        <v>79</v>
      </c>
      <c r="F34" s="4" t="s">
        <v>85</v>
      </c>
      <c r="G34" s="27" t="s">
        <v>159</v>
      </c>
      <c r="H34" s="4" t="s">
        <v>9</v>
      </c>
    </row>
    <row r="35" spans="1:8" s="18" customFormat="1" x14ac:dyDescent="0.3">
      <c r="A35" s="4">
        <v>1661</v>
      </c>
      <c r="B35" s="4" t="s">
        <v>27</v>
      </c>
      <c r="C35" s="4" t="s">
        <v>164</v>
      </c>
      <c r="D35" s="4" t="s">
        <v>276</v>
      </c>
      <c r="E35" s="27"/>
      <c r="F35" s="4"/>
      <c r="G35" s="2" t="s">
        <v>158</v>
      </c>
      <c r="H35" s="4" t="s">
        <v>11</v>
      </c>
    </row>
    <row r="36" spans="1:8" s="18" customFormat="1" x14ac:dyDescent="0.3">
      <c r="A36" s="22">
        <v>1666</v>
      </c>
      <c r="B36" s="22" t="s">
        <v>132</v>
      </c>
      <c r="C36" s="4" t="s">
        <v>160</v>
      </c>
      <c r="D36" s="22" t="s">
        <v>227</v>
      </c>
      <c r="E36" s="27">
        <v>8108</v>
      </c>
      <c r="F36" s="4" t="s">
        <v>82</v>
      </c>
      <c r="G36" s="27" t="s">
        <v>160</v>
      </c>
      <c r="H36" s="4" t="s">
        <v>133</v>
      </c>
    </row>
    <row r="37" spans="1:8" s="18" customFormat="1" x14ac:dyDescent="0.3">
      <c r="A37" s="22">
        <v>1700</v>
      </c>
      <c r="B37" s="22" t="s">
        <v>275</v>
      </c>
      <c r="C37" s="4" t="s">
        <v>159</v>
      </c>
      <c r="D37" s="22" t="s">
        <v>227</v>
      </c>
      <c r="E37" s="27" t="s">
        <v>75</v>
      </c>
      <c r="F37" s="4" t="s">
        <v>82</v>
      </c>
      <c r="G37" s="27" t="s">
        <v>159</v>
      </c>
      <c r="H37" s="4"/>
    </row>
    <row r="38" spans="1:8" s="18" customFormat="1" x14ac:dyDescent="0.3">
      <c r="A38" s="47" t="s">
        <v>208</v>
      </c>
      <c r="B38" s="26" t="s">
        <v>211</v>
      </c>
      <c r="C38" s="26" t="s">
        <v>160</v>
      </c>
      <c r="D38" s="26" t="s">
        <v>227</v>
      </c>
      <c r="E38" s="30" t="s">
        <v>75</v>
      </c>
      <c r="F38" s="26" t="s">
        <v>82</v>
      </c>
      <c r="G38" s="30" t="s">
        <v>146</v>
      </c>
      <c r="H38" s="26" t="s">
        <v>220</v>
      </c>
    </row>
    <row r="39" spans="1:8" s="18" customFormat="1" x14ac:dyDescent="0.3">
      <c r="A39" s="6" t="s">
        <v>209</v>
      </c>
      <c r="B39" s="4" t="s">
        <v>213</v>
      </c>
      <c r="C39" s="28" t="s">
        <v>160</v>
      </c>
      <c r="D39" s="4" t="s">
        <v>227</v>
      </c>
      <c r="E39" s="2" t="s">
        <v>237</v>
      </c>
      <c r="F39" s="4" t="s">
        <v>148</v>
      </c>
      <c r="G39" s="2" t="s">
        <v>159</v>
      </c>
      <c r="H39" s="4" t="s">
        <v>221</v>
      </c>
    </row>
    <row r="40" spans="1:8" s="18" customFormat="1" x14ac:dyDescent="0.3">
      <c r="A40" s="47" t="s">
        <v>210</v>
      </c>
      <c r="B40" s="26" t="s">
        <v>214</v>
      </c>
      <c r="C40" s="26" t="s">
        <v>159</v>
      </c>
      <c r="D40" s="26" t="s">
        <v>227</v>
      </c>
      <c r="E40" s="30" t="s">
        <v>205</v>
      </c>
      <c r="F40" s="26" t="s">
        <v>236</v>
      </c>
      <c r="G40" s="30" t="s">
        <v>146</v>
      </c>
      <c r="H40" s="26" t="s">
        <v>222</v>
      </c>
    </row>
    <row r="41" spans="1:8" s="18" customFormat="1" x14ac:dyDescent="0.3">
      <c r="A41" s="4">
        <v>1715</v>
      </c>
      <c r="B41" s="4" t="s">
        <v>134</v>
      </c>
      <c r="C41" s="4" t="s">
        <v>247</v>
      </c>
      <c r="D41" s="4" t="s">
        <v>276</v>
      </c>
      <c r="E41" s="27"/>
      <c r="F41" s="4" t="s">
        <v>86</v>
      </c>
      <c r="G41" s="27" t="s">
        <v>159</v>
      </c>
      <c r="H41" s="4" t="s">
        <v>135</v>
      </c>
    </row>
    <row r="42" spans="1:8" s="18" customFormat="1" x14ac:dyDescent="0.3">
      <c r="A42" s="4">
        <v>1751</v>
      </c>
      <c r="B42" s="4" t="s">
        <v>268</v>
      </c>
      <c r="C42" s="4" t="s">
        <v>248</v>
      </c>
      <c r="D42" s="4" t="s">
        <v>276</v>
      </c>
      <c r="E42" s="27"/>
      <c r="F42" s="4"/>
      <c r="G42" s="27" t="s">
        <v>308</v>
      </c>
      <c r="H42" s="4"/>
    </row>
    <row r="43" spans="1:8" s="18" customFormat="1" x14ac:dyDescent="0.3">
      <c r="A43" s="4">
        <v>1756</v>
      </c>
      <c r="B43" s="4" t="s">
        <v>269</v>
      </c>
      <c r="C43" s="4" t="s">
        <v>248</v>
      </c>
      <c r="D43" s="4" t="s">
        <v>276</v>
      </c>
      <c r="E43" s="27"/>
      <c r="F43" s="4"/>
      <c r="G43" s="27" t="s">
        <v>308</v>
      </c>
      <c r="H43" s="4"/>
    </row>
    <row r="44" spans="1:8" s="18" customFormat="1" x14ac:dyDescent="0.3">
      <c r="A44" s="22">
        <v>2002</v>
      </c>
      <c r="B44" s="22" t="s">
        <v>207</v>
      </c>
      <c r="C44" s="4" t="s">
        <v>160</v>
      </c>
      <c r="D44" s="22" t="s">
        <v>227</v>
      </c>
      <c r="E44" s="27" t="s">
        <v>74</v>
      </c>
      <c r="F44" s="22" t="s">
        <v>83</v>
      </c>
      <c r="G44" s="27" t="s">
        <v>160</v>
      </c>
      <c r="H44" s="61"/>
    </row>
    <row r="45" spans="1:8" s="18" customFormat="1" x14ac:dyDescent="0.3">
      <c r="A45" s="26">
        <v>2003</v>
      </c>
      <c r="B45" s="26" t="s">
        <v>117</v>
      </c>
      <c r="C45" s="26" t="s">
        <v>159</v>
      </c>
      <c r="D45" s="26" t="s">
        <v>227</v>
      </c>
      <c r="E45" s="29">
        <v>8108</v>
      </c>
      <c r="F45" s="26" t="s">
        <v>82</v>
      </c>
      <c r="G45" s="29" t="s">
        <v>146</v>
      </c>
      <c r="H45" s="26"/>
    </row>
    <row r="46" spans="1:8" s="18" customFormat="1" x14ac:dyDescent="0.3">
      <c r="A46" s="4">
        <v>2004</v>
      </c>
      <c r="B46" s="4" t="s">
        <v>270</v>
      </c>
      <c r="C46" s="4" t="s">
        <v>248</v>
      </c>
      <c r="D46" s="4" t="s">
        <v>276</v>
      </c>
      <c r="E46" s="27"/>
      <c r="F46" s="4"/>
      <c r="G46" s="27" t="s">
        <v>308</v>
      </c>
      <c r="H46" s="4"/>
    </row>
    <row r="47" spans="1:8" s="18" customFormat="1" x14ac:dyDescent="0.3">
      <c r="A47" s="4">
        <v>2005</v>
      </c>
      <c r="B47" s="4" t="s">
        <v>271</v>
      </c>
      <c r="C47" s="4" t="s">
        <v>248</v>
      </c>
      <c r="D47" s="4" t="s">
        <v>276</v>
      </c>
      <c r="E47" s="27"/>
      <c r="F47" s="4"/>
      <c r="G47" s="27" t="s">
        <v>308</v>
      </c>
      <c r="H47" s="4"/>
    </row>
    <row r="48" spans="1:8" s="18" customFormat="1" x14ac:dyDescent="0.3">
      <c r="A48" s="26">
        <v>2019</v>
      </c>
      <c r="B48" s="26" t="s">
        <v>36</v>
      </c>
      <c r="C48" s="26" t="s">
        <v>159</v>
      </c>
      <c r="D48" s="26" t="s">
        <v>227</v>
      </c>
      <c r="E48" s="29" t="s">
        <v>205</v>
      </c>
      <c r="F48" s="26" t="s">
        <v>148</v>
      </c>
      <c r="G48" s="29" t="s">
        <v>146</v>
      </c>
      <c r="H48" s="26" t="s">
        <v>19</v>
      </c>
    </row>
    <row r="49" spans="1:8" s="18" customFormat="1" x14ac:dyDescent="0.3">
      <c r="A49" s="2" t="s">
        <v>81</v>
      </c>
      <c r="B49" s="2">
        <v>36</v>
      </c>
      <c r="C49" s="4"/>
      <c r="D49" s="4" t="s">
        <v>227</v>
      </c>
      <c r="E49" s="27"/>
      <c r="F49" s="4"/>
      <c r="G49" s="2"/>
      <c r="H49" s="17"/>
    </row>
    <row r="50" spans="1:8" s="18" customFormat="1" x14ac:dyDescent="0.3">
      <c r="A50" s="2" t="s">
        <v>72</v>
      </c>
      <c r="B50" s="4"/>
      <c r="C50" s="4"/>
      <c r="D50" s="4" t="s">
        <v>227</v>
      </c>
      <c r="E50" s="27"/>
      <c r="F50" s="4"/>
      <c r="G50" s="2"/>
      <c r="H50" s="17"/>
    </row>
    <row r="51" spans="1:8" s="18" customFormat="1" x14ac:dyDescent="0.3">
      <c r="A51" s="4">
        <v>1395</v>
      </c>
      <c r="B51" s="4" t="s">
        <v>56</v>
      </c>
      <c r="C51" s="4" t="s">
        <v>248</v>
      </c>
      <c r="D51" s="4" t="s">
        <v>276</v>
      </c>
      <c r="E51" s="2"/>
      <c r="F51" s="4" t="s">
        <v>86</v>
      </c>
      <c r="G51" s="2" t="s">
        <v>308</v>
      </c>
      <c r="H51" s="4" t="s">
        <v>62</v>
      </c>
    </row>
    <row r="52" spans="1:8" s="18" customFormat="1" x14ac:dyDescent="0.3">
      <c r="A52" s="4">
        <v>1453</v>
      </c>
      <c r="B52" s="4" t="s">
        <v>111</v>
      </c>
      <c r="C52" s="4" t="s">
        <v>160</v>
      </c>
      <c r="D52" s="4" t="s">
        <v>227</v>
      </c>
      <c r="E52" s="2" t="s">
        <v>65</v>
      </c>
      <c r="F52" s="4" t="s">
        <v>86</v>
      </c>
      <c r="G52" s="2" t="s">
        <v>308</v>
      </c>
      <c r="H52" s="61"/>
    </row>
    <row r="53" spans="1:8" s="18" customFormat="1" x14ac:dyDescent="0.3">
      <c r="A53" s="26">
        <v>1457</v>
      </c>
      <c r="B53" s="26" t="s">
        <v>112</v>
      </c>
      <c r="C53" s="26" t="s">
        <v>159</v>
      </c>
      <c r="D53" s="26" t="s">
        <v>227</v>
      </c>
      <c r="E53" s="30" t="s">
        <v>66</v>
      </c>
      <c r="F53" s="26" t="s">
        <v>86</v>
      </c>
      <c r="G53" s="30" t="s">
        <v>146</v>
      </c>
      <c r="H53" s="65"/>
    </row>
    <row r="54" spans="1:8" s="18" customFormat="1" x14ac:dyDescent="0.3">
      <c r="A54" s="4">
        <v>1554</v>
      </c>
      <c r="B54" s="4" t="s">
        <v>113</v>
      </c>
      <c r="C54" s="4" t="s">
        <v>160</v>
      </c>
      <c r="D54" s="4" t="s">
        <v>227</v>
      </c>
      <c r="E54" s="2" t="s">
        <v>66</v>
      </c>
      <c r="F54" s="4" t="s">
        <v>86</v>
      </c>
      <c r="G54" s="2" t="s">
        <v>308</v>
      </c>
      <c r="H54" s="17"/>
    </row>
    <row r="55" spans="1:8" s="18" customFormat="1" x14ac:dyDescent="0.3">
      <c r="A55" s="26">
        <v>1555</v>
      </c>
      <c r="B55" s="26" t="s">
        <v>114</v>
      </c>
      <c r="C55" s="26" t="s">
        <v>159</v>
      </c>
      <c r="D55" s="26" t="s">
        <v>227</v>
      </c>
      <c r="E55" s="30" t="s">
        <v>67</v>
      </c>
      <c r="F55" s="26" t="s">
        <v>84</v>
      </c>
      <c r="G55" s="30" t="s">
        <v>146</v>
      </c>
      <c r="H55" s="56"/>
    </row>
    <row r="56" spans="1:8" s="18" customFormat="1" x14ac:dyDescent="0.3">
      <c r="A56" s="4">
        <v>1556</v>
      </c>
      <c r="B56" s="4" t="s">
        <v>115</v>
      </c>
      <c r="C56" s="4" t="s">
        <v>160</v>
      </c>
      <c r="D56" s="4" t="s">
        <v>227</v>
      </c>
      <c r="E56" s="2" t="s">
        <v>66</v>
      </c>
      <c r="F56" s="4" t="s">
        <v>86</v>
      </c>
      <c r="G56" s="2" t="s">
        <v>308</v>
      </c>
      <c r="H56" s="17"/>
    </row>
    <row r="57" spans="1:8" s="18" customFormat="1" x14ac:dyDescent="0.3">
      <c r="A57" s="4">
        <v>1592</v>
      </c>
      <c r="B57" s="4" t="s">
        <v>116</v>
      </c>
      <c r="C57" s="4" t="s">
        <v>248</v>
      </c>
      <c r="D57" s="4" t="s">
        <v>276</v>
      </c>
      <c r="E57" s="2"/>
      <c r="F57" s="4" t="s">
        <v>86</v>
      </c>
      <c r="G57" s="2" t="s">
        <v>308</v>
      </c>
      <c r="H57" s="17"/>
    </row>
    <row r="58" spans="1:8" s="18" customFormat="1" x14ac:dyDescent="0.3">
      <c r="A58" s="26">
        <v>1621</v>
      </c>
      <c r="B58" s="26" t="s">
        <v>64</v>
      </c>
      <c r="C58" s="26" t="s">
        <v>159</v>
      </c>
      <c r="D58" s="26" t="s">
        <v>227</v>
      </c>
      <c r="E58" s="30" t="s">
        <v>68</v>
      </c>
      <c r="F58" s="26" t="s">
        <v>84</v>
      </c>
      <c r="G58" s="30" t="s">
        <v>146</v>
      </c>
      <c r="H58" s="56"/>
    </row>
    <row r="59" spans="1:8" x14ac:dyDescent="0.3">
      <c r="A59" s="2" t="s">
        <v>202</v>
      </c>
      <c r="B59" s="2">
        <v>6</v>
      </c>
      <c r="C59" s="14"/>
      <c r="D59" s="18"/>
      <c r="E59" s="18"/>
      <c r="F59" s="14"/>
      <c r="G59" s="23"/>
      <c r="H59" s="14"/>
    </row>
    <row r="60" spans="1:8" x14ac:dyDescent="0.3">
      <c r="A60" s="30"/>
      <c r="B60" s="30" t="s">
        <v>310</v>
      </c>
      <c r="C60" s="11" t="s">
        <v>309</v>
      </c>
      <c r="D60" s="19" t="s">
        <v>145</v>
      </c>
      <c r="E60"/>
      <c r="F60" s="15"/>
      <c r="G60" s="52"/>
      <c r="H60" s="15"/>
    </row>
    <row r="61" spans="1:8" x14ac:dyDescent="0.3">
      <c r="A61" s="30" t="s">
        <v>198</v>
      </c>
      <c r="B61" s="30">
        <v>36</v>
      </c>
      <c r="C61" s="17">
        <v>17</v>
      </c>
      <c r="D61" s="25">
        <f>C61/B61</f>
        <v>0.47222222222222221</v>
      </c>
      <c r="E61"/>
      <c r="F61" s="15"/>
      <c r="G61" s="52"/>
      <c r="H61" s="15"/>
    </row>
    <row r="62" spans="1:8" x14ac:dyDescent="0.3">
      <c r="A62" s="30" t="s">
        <v>72</v>
      </c>
      <c r="B62" s="30">
        <v>6</v>
      </c>
      <c r="C62" s="17">
        <v>3</v>
      </c>
      <c r="D62" s="25">
        <f t="shared" ref="D62:D63" si="0">C62/B62</f>
        <v>0.5</v>
      </c>
      <c r="E62"/>
      <c r="F62" s="15"/>
      <c r="G62" s="52"/>
      <c r="H62" s="15"/>
    </row>
    <row r="63" spans="1:8" x14ac:dyDescent="0.3">
      <c r="A63" s="30" t="s">
        <v>81</v>
      </c>
      <c r="B63" s="30">
        <f>SUM(B61:B62)</f>
        <v>42</v>
      </c>
      <c r="C63" s="17">
        <f>SUM(C61:C62)</f>
        <v>20</v>
      </c>
      <c r="D63" s="54">
        <f t="shared" si="0"/>
        <v>0.47619047619047616</v>
      </c>
      <c r="E63"/>
      <c r="F63" s="15"/>
      <c r="G63" s="52"/>
      <c r="H63" s="15"/>
    </row>
    <row r="64" spans="1:8" x14ac:dyDescent="0.3">
      <c r="A64" s="18"/>
      <c r="C64" s="15"/>
      <c r="E64"/>
      <c r="F64" s="15"/>
      <c r="G64" s="52"/>
      <c r="H64" s="15"/>
    </row>
    <row r="65" spans="1:8" x14ac:dyDescent="0.3">
      <c r="A65" s="11" t="s">
        <v>88</v>
      </c>
      <c r="B65" s="19" t="s">
        <v>234</v>
      </c>
      <c r="C65" s="19" t="s">
        <v>146</v>
      </c>
      <c r="D65" s="19" t="s">
        <v>145</v>
      </c>
      <c r="E65"/>
      <c r="F65" s="15"/>
      <c r="G65" s="52"/>
      <c r="H65" s="15"/>
    </row>
    <row r="66" spans="1:8" x14ac:dyDescent="0.3">
      <c r="A66" s="17">
        <v>8108</v>
      </c>
      <c r="B66" s="16">
        <v>3</v>
      </c>
      <c r="C66" s="16">
        <v>2</v>
      </c>
      <c r="D66" s="25">
        <f>C66/B66</f>
        <v>0.66666666666666663</v>
      </c>
      <c r="E66"/>
      <c r="F66" s="15"/>
      <c r="G66" s="52"/>
      <c r="H66" s="15"/>
    </row>
    <row r="67" spans="1:8" x14ac:dyDescent="0.3">
      <c r="A67" s="17" t="s">
        <v>172</v>
      </c>
      <c r="B67" s="16">
        <v>5</v>
      </c>
      <c r="C67" s="16">
        <v>1</v>
      </c>
      <c r="D67" s="25">
        <f t="shared" ref="D67:D88" si="1">C67/B67</f>
        <v>0.2</v>
      </c>
      <c r="E67"/>
      <c r="F67" s="15"/>
      <c r="G67" s="52"/>
      <c r="H67" s="15"/>
    </row>
    <row r="68" spans="1:8" x14ac:dyDescent="0.3">
      <c r="A68" s="17" t="s">
        <v>75</v>
      </c>
      <c r="B68" s="16">
        <v>4</v>
      </c>
      <c r="C68" s="16">
        <v>2</v>
      </c>
      <c r="D68" s="25">
        <f t="shared" si="1"/>
        <v>0.5</v>
      </c>
      <c r="E68"/>
      <c r="F68" s="15"/>
      <c r="G68" s="52"/>
      <c r="H68" s="15"/>
    </row>
    <row r="69" spans="1:8" x14ac:dyDescent="0.3">
      <c r="A69" s="17" t="s">
        <v>205</v>
      </c>
      <c r="B69" s="16">
        <v>4</v>
      </c>
      <c r="C69" s="16">
        <v>3</v>
      </c>
      <c r="D69" s="25">
        <f t="shared" si="1"/>
        <v>0.75</v>
      </c>
      <c r="E69"/>
      <c r="F69" s="15"/>
      <c r="G69" s="52"/>
      <c r="H69" s="15"/>
    </row>
    <row r="70" spans="1:8" x14ac:dyDescent="0.3">
      <c r="A70" s="17" t="s">
        <v>195</v>
      </c>
      <c r="B70" s="16">
        <v>1</v>
      </c>
      <c r="C70" s="16">
        <v>0</v>
      </c>
      <c r="D70" s="25">
        <f t="shared" si="1"/>
        <v>0</v>
      </c>
      <c r="E70"/>
      <c r="F70" s="15"/>
      <c r="G70" s="52"/>
      <c r="H70" s="15"/>
    </row>
    <row r="71" spans="1:8" x14ac:dyDescent="0.3">
      <c r="A71" s="17" t="s">
        <v>45</v>
      </c>
      <c r="B71" s="16">
        <v>3</v>
      </c>
      <c r="C71" s="16">
        <v>0</v>
      </c>
      <c r="D71" s="25">
        <f t="shared" si="1"/>
        <v>0</v>
      </c>
      <c r="E71"/>
      <c r="F71" s="15"/>
      <c r="G71" s="52"/>
      <c r="H71" s="15"/>
    </row>
    <row r="72" spans="1:8" x14ac:dyDescent="0.3">
      <c r="A72" s="11" t="s">
        <v>66</v>
      </c>
      <c r="B72" s="16">
        <v>3</v>
      </c>
      <c r="C72" s="16">
        <v>1</v>
      </c>
      <c r="D72" s="25">
        <f t="shared" si="1"/>
        <v>0.33333333333333331</v>
      </c>
      <c r="E72"/>
      <c r="F72" s="15"/>
      <c r="G72" s="52"/>
      <c r="H72" s="15"/>
    </row>
    <row r="73" spans="1:8" x14ac:dyDescent="0.3">
      <c r="A73" s="11" t="s">
        <v>68</v>
      </c>
      <c r="B73" s="16">
        <v>1</v>
      </c>
      <c r="C73" s="16">
        <v>1</v>
      </c>
      <c r="D73" s="25">
        <f t="shared" si="1"/>
        <v>1</v>
      </c>
      <c r="E73"/>
      <c r="F73" s="15"/>
      <c r="G73" s="52"/>
      <c r="H73" s="15"/>
    </row>
    <row r="74" spans="1:8" x14ac:dyDescent="0.3">
      <c r="A74" s="17" t="s">
        <v>192</v>
      </c>
      <c r="B74" s="16">
        <v>1</v>
      </c>
      <c r="C74" s="16">
        <v>1</v>
      </c>
      <c r="D74" s="25">
        <f t="shared" si="1"/>
        <v>1</v>
      </c>
      <c r="E74"/>
      <c r="F74" s="15"/>
      <c r="G74" s="52"/>
      <c r="H74" s="15"/>
    </row>
    <row r="75" spans="1:8" x14ac:dyDescent="0.3">
      <c r="A75" s="11" t="s">
        <v>67</v>
      </c>
      <c r="B75" s="16">
        <v>1</v>
      </c>
      <c r="C75" s="16">
        <v>1</v>
      </c>
      <c r="D75" s="25">
        <f t="shared" si="1"/>
        <v>1</v>
      </c>
      <c r="E75"/>
      <c r="F75" s="15"/>
      <c r="G75" s="52"/>
      <c r="H75" s="15"/>
    </row>
    <row r="76" spans="1:8" x14ac:dyDescent="0.3">
      <c r="A76" s="17" t="s">
        <v>79</v>
      </c>
      <c r="B76" s="16">
        <v>1</v>
      </c>
      <c r="C76" s="16">
        <v>0</v>
      </c>
      <c r="D76" s="25">
        <f t="shared" si="1"/>
        <v>0</v>
      </c>
      <c r="E76"/>
      <c r="F76" s="15"/>
      <c r="G76" s="52"/>
      <c r="H76" s="15"/>
    </row>
    <row r="77" spans="1:8" x14ac:dyDescent="0.3">
      <c r="A77" s="17" t="s">
        <v>53</v>
      </c>
      <c r="B77" s="16">
        <v>1</v>
      </c>
      <c r="C77" s="16">
        <v>0</v>
      </c>
      <c r="D77" s="25">
        <f t="shared" si="1"/>
        <v>0</v>
      </c>
      <c r="E77"/>
      <c r="F77" s="15"/>
      <c r="G77" s="52"/>
      <c r="H77" s="15"/>
    </row>
    <row r="78" spans="1:8" x14ac:dyDescent="0.3">
      <c r="A78" s="17" t="s">
        <v>201</v>
      </c>
      <c r="B78" s="16">
        <v>1</v>
      </c>
      <c r="C78" s="16">
        <v>0</v>
      </c>
      <c r="D78" s="25">
        <f t="shared" si="1"/>
        <v>0</v>
      </c>
      <c r="E78"/>
      <c r="F78" s="15"/>
      <c r="G78" s="52"/>
      <c r="H78" s="15"/>
    </row>
    <row r="79" spans="1:8" x14ac:dyDescent="0.3">
      <c r="A79" s="17" t="s">
        <v>74</v>
      </c>
      <c r="B79" s="16">
        <v>1</v>
      </c>
      <c r="C79" s="16">
        <v>0</v>
      </c>
      <c r="D79" s="25">
        <f t="shared" si="1"/>
        <v>0</v>
      </c>
      <c r="E79"/>
      <c r="F79" s="15"/>
      <c r="G79" s="52"/>
      <c r="H79" s="15"/>
    </row>
    <row r="80" spans="1:8" x14ac:dyDescent="0.3">
      <c r="A80" s="17" t="s">
        <v>237</v>
      </c>
      <c r="B80" s="16">
        <v>4</v>
      </c>
      <c r="C80" s="16">
        <v>2</v>
      </c>
      <c r="D80" s="25">
        <f t="shared" si="1"/>
        <v>0.5</v>
      </c>
      <c r="E80"/>
      <c r="F80" s="15"/>
      <c r="G80" s="52"/>
      <c r="H80" s="15"/>
    </row>
    <row r="81" spans="1:8" x14ac:dyDescent="0.3">
      <c r="A81" s="17" t="s">
        <v>212</v>
      </c>
      <c r="B81" s="16">
        <v>1</v>
      </c>
      <c r="C81" s="16">
        <v>1</v>
      </c>
      <c r="D81" s="25">
        <f t="shared" si="1"/>
        <v>1</v>
      </c>
      <c r="E81"/>
      <c r="F81" s="15"/>
      <c r="G81" s="52"/>
      <c r="H81" s="15"/>
    </row>
    <row r="82" spans="1:8" x14ac:dyDescent="0.3">
      <c r="A82" s="11" t="s">
        <v>65</v>
      </c>
      <c r="B82" s="16">
        <v>1</v>
      </c>
      <c r="C82" s="16">
        <v>0</v>
      </c>
      <c r="D82" s="25">
        <f t="shared" si="1"/>
        <v>0</v>
      </c>
      <c r="E82"/>
      <c r="F82" s="15"/>
      <c r="G82" s="52"/>
      <c r="H82" s="15"/>
    </row>
    <row r="83" spans="1:8" x14ac:dyDescent="0.3">
      <c r="A83" s="17" t="s">
        <v>173</v>
      </c>
      <c r="B83" s="16">
        <v>2</v>
      </c>
      <c r="C83" s="16">
        <v>1</v>
      </c>
      <c r="D83" s="25">
        <f t="shared" si="1"/>
        <v>0.5</v>
      </c>
      <c r="E83"/>
      <c r="F83" s="15"/>
      <c r="G83" s="52"/>
      <c r="H83" s="15"/>
    </row>
    <row r="84" spans="1:8" x14ac:dyDescent="0.3">
      <c r="A84" s="17" t="s">
        <v>73</v>
      </c>
      <c r="B84" s="16">
        <v>1</v>
      </c>
      <c r="C84" s="16">
        <v>0</v>
      </c>
      <c r="D84" s="25">
        <f t="shared" si="1"/>
        <v>0</v>
      </c>
      <c r="E84"/>
      <c r="F84" s="15"/>
      <c r="G84" s="52"/>
      <c r="H84" s="15"/>
    </row>
    <row r="85" spans="1:8" x14ac:dyDescent="0.3">
      <c r="A85" s="17" t="s">
        <v>272</v>
      </c>
      <c r="B85" s="16">
        <v>1</v>
      </c>
      <c r="C85" s="16">
        <v>1</v>
      </c>
      <c r="D85" s="25">
        <f t="shared" si="1"/>
        <v>1</v>
      </c>
      <c r="E85"/>
      <c r="F85" s="15"/>
      <c r="G85" s="52"/>
      <c r="H85" s="15"/>
    </row>
    <row r="86" spans="1:8" x14ac:dyDescent="0.3">
      <c r="A86" s="17" t="s">
        <v>76</v>
      </c>
      <c r="B86" s="16">
        <v>1</v>
      </c>
      <c r="C86" s="16">
        <v>0</v>
      </c>
      <c r="D86" s="25">
        <f t="shared" si="1"/>
        <v>0</v>
      </c>
      <c r="E86"/>
      <c r="F86" s="15"/>
      <c r="G86" s="52"/>
      <c r="H86" s="15"/>
    </row>
    <row r="87" spans="1:8" x14ac:dyDescent="0.3">
      <c r="A87" s="17" t="s">
        <v>215</v>
      </c>
      <c r="B87" s="16">
        <v>1</v>
      </c>
      <c r="C87" s="16">
        <v>1</v>
      </c>
      <c r="D87" s="25">
        <f t="shared" si="1"/>
        <v>1</v>
      </c>
      <c r="E87"/>
      <c r="F87" s="15"/>
      <c r="G87" s="52"/>
      <c r="H87" s="15"/>
    </row>
    <row r="88" spans="1:8" x14ac:dyDescent="0.3">
      <c r="A88" s="12" t="s">
        <v>81</v>
      </c>
      <c r="B88" s="12">
        <f>SUM(B66:B87)</f>
        <v>42</v>
      </c>
      <c r="C88" s="12">
        <f>SUM(C66:C87)</f>
        <v>18</v>
      </c>
      <c r="D88" s="54">
        <f t="shared" si="1"/>
        <v>0.42857142857142855</v>
      </c>
      <c r="F88" s="33"/>
      <c r="G88" s="52"/>
      <c r="H88" s="33"/>
    </row>
  </sheetData>
  <autoFilter ref="A1:H63" xr:uid="{2ED9CA6C-8ABD-47E9-9C59-0F55A7656DCD}"/>
  <sortState xmlns:xlrd2="http://schemas.microsoft.com/office/spreadsheetml/2017/richdata2" ref="A2:H48">
    <sortCondition ref="A2:A48"/>
  </sortState>
  <pageMargins left="0.511811024" right="0.511811024" top="0.78740157499999996" bottom="0.78740157499999996" header="0.31496062000000002" footer="0.31496062000000002"/>
  <pageSetup paperSize="9" scale="53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0386-AAC2-4ECC-ABAE-ECBD3270515B}">
  <sheetPr>
    <pageSetUpPr fitToPage="1"/>
  </sheetPr>
  <dimension ref="A1:H40"/>
  <sheetViews>
    <sheetView topLeftCell="A3" workbookViewId="0">
      <selection activeCell="O23" sqref="O23"/>
    </sheetView>
  </sheetViews>
  <sheetFormatPr defaultRowHeight="14.4" x14ac:dyDescent="0.3"/>
  <cols>
    <col min="1" max="1" width="14.21875" style="18" customWidth="1"/>
    <col min="2" max="2" width="12" style="18" bestFit="1" customWidth="1"/>
    <col min="3" max="3" width="16.109375" style="18" bestFit="1" customWidth="1"/>
    <col min="4" max="4" width="12.5546875" style="18" bestFit="1" customWidth="1"/>
    <col min="5" max="5" width="18.33203125" style="18" bestFit="1" customWidth="1"/>
    <col min="6" max="6" width="14.33203125" style="18" bestFit="1" customWidth="1"/>
    <col min="7" max="7" width="16.88671875" style="59" bestFit="1" customWidth="1"/>
    <col min="8" max="8" width="15.109375" style="18" bestFit="1" customWidth="1"/>
  </cols>
  <sheetData>
    <row r="1" spans="1:8" x14ac:dyDescent="0.3">
      <c r="A1" s="1" t="s">
        <v>0</v>
      </c>
      <c r="B1" s="2" t="s">
        <v>1</v>
      </c>
      <c r="C1" s="2" t="s">
        <v>277</v>
      </c>
      <c r="D1" s="2" t="s">
        <v>278</v>
      </c>
      <c r="E1" s="3" t="s">
        <v>279</v>
      </c>
      <c r="F1" s="3" t="s">
        <v>2</v>
      </c>
      <c r="G1" s="2" t="s">
        <v>223</v>
      </c>
      <c r="H1" s="2" t="s">
        <v>4</v>
      </c>
    </row>
    <row r="2" spans="1:8" x14ac:dyDescent="0.3">
      <c r="A2" s="86" t="s">
        <v>313</v>
      </c>
      <c r="B2" s="87" t="s">
        <v>318</v>
      </c>
      <c r="C2" s="87" t="s">
        <v>167</v>
      </c>
      <c r="D2" s="88" t="s">
        <v>227</v>
      </c>
      <c r="E2" s="48" t="s">
        <v>302</v>
      </c>
      <c r="F2" s="49" t="s">
        <v>83</v>
      </c>
      <c r="G2" s="30" t="s">
        <v>146</v>
      </c>
      <c r="H2" s="87" t="s">
        <v>320</v>
      </c>
    </row>
    <row r="3" spans="1:8" x14ac:dyDescent="0.3">
      <c r="A3" s="47" t="s">
        <v>245</v>
      </c>
      <c r="B3" s="26" t="s">
        <v>246</v>
      </c>
      <c r="C3" s="87" t="s">
        <v>167</v>
      </c>
      <c r="D3" s="88" t="s">
        <v>227</v>
      </c>
      <c r="E3" s="30" t="s">
        <v>345</v>
      </c>
      <c r="F3" s="87" t="s">
        <v>303</v>
      </c>
      <c r="G3" s="48" t="s">
        <v>146</v>
      </c>
      <c r="H3" s="26"/>
    </row>
    <row r="4" spans="1:8" x14ac:dyDescent="0.3">
      <c r="A4" s="6" t="s">
        <v>238</v>
      </c>
      <c r="B4" s="4" t="s">
        <v>239</v>
      </c>
      <c r="C4" s="64" t="s">
        <v>311</v>
      </c>
      <c r="D4" s="73" t="s">
        <v>227</v>
      </c>
      <c r="E4" s="2" t="s">
        <v>345</v>
      </c>
      <c r="F4" s="64" t="s">
        <v>303</v>
      </c>
      <c r="G4" s="3" t="s">
        <v>160</v>
      </c>
      <c r="H4" s="4"/>
    </row>
    <row r="5" spans="1:8" x14ac:dyDescent="0.3">
      <c r="A5" s="6" t="s">
        <v>255</v>
      </c>
      <c r="B5" s="4" t="s">
        <v>260</v>
      </c>
      <c r="C5" s="64" t="s">
        <v>167</v>
      </c>
      <c r="D5" s="73" t="s">
        <v>227</v>
      </c>
      <c r="E5" s="2" t="s">
        <v>306</v>
      </c>
      <c r="F5" s="71" t="s">
        <v>83</v>
      </c>
      <c r="G5" s="3" t="s">
        <v>367</v>
      </c>
      <c r="H5" s="4"/>
    </row>
    <row r="6" spans="1:8" x14ac:dyDescent="0.3">
      <c r="A6" s="47" t="s">
        <v>124</v>
      </c>
      <c r="B6" s="26" t="s">
        <v>125</v>
      </c>
      <c r="C6" s="87" t="s">
        <v>167</v>
      </c>
      <c r="D6" s="88" t="s">
        <v>227</v>
      </c>
      <c r="E6" s="48" t="s">
        <v>315</v>
      </c>
      <c r="F6" s="49" t="s">
        <v>216</v>
      </c>
      <c r="G6" s="48" t="s">
        <v>146</v>
      </c>
      <c r="H6" s="26" t="s">
        <v>127</v>
      </c>
    </row>
    <row r="7" spans="1:8" x14ac:dyDescent="0.3">
      <c r="A7" s="6" t="s">
        <v>258</v>
      </c>
      <c r="B7" s="4" t="s">
        <v>264</v>
      </c>
      <c r="C7" s="64" t="s">
        <v>311</v>
      </c>
      <c r="D7" s="73" t="s">
        <v>227</v>
      </c>
      <c r="E7" s="3" t="s">
        <v>205</v>
      </c>
      <c r="F7" s="7" t="s">
        <v>86</v>
      </c>
      <c r="G7" s="3" t="s">
        <v>368</v>
      </c>
      <c r="H7" s="4"/>
    </row>
    <row r="8" spans="1:8" x14ac:dyDescent="0.3">
      <c r="A8" s="51">
        <v>1573</v>
      </c>
      <c r="B8" s="51" t="s">
        <v>265</v>
      </c>
      <c r="C8" s="87" t="s">
        <v>193</v>
      </c>
      <c r="D8" s="51" t="s">
        <v>227</v>
      </c>
      <c r="E8" s="29" t="s">
        <v>345</v>
      </c>
      <c r="F8" s="51" t="s">
        <v>303</v>
      </c>
      <c r="G8" s="29" t="s">
        <v>146</v>
      </c>
      <c r="H8" s="26"/>
    </row>
    <row r="9" spans="1:8" x14ac:dyDescent="0.3">
      <c r="A9" s="4">
        <v>1577</v>
      </c>
      <c r="B9" s="4" t="s">
        <v>200</v>
      </c>
      <c r="C9" s="64" t="s">
        <v>194</v>
      </c>
      <c r="D9" s="22" t="s">
        <v>228</v>
      </c>
      <c r="E9" s="27" t="s">
        <v>201</v>
      </c>
      <c r="F9" s="4" t="s">
        <v>83</v>
      </c>
      <c r="G9" s="27" t="s">
        <v>307</v>
      </c>
      <c r="H9" s="17"/>
    </row>
    <row r="10" spans="1:8" x14ac:dyDescent="0.3">
      <c r="A10" s="26">
        <v>1588</v>
      </c>
      <c r="B10" s="26" t="s">
        <v>39</v>
      </c>
      <c r="C10" s="87" t="s">
        <v>193</v>
      </c>
      <c r="D10" s="51" t="s">
        <v>227</v>
      </c>
      <c r="E10" s="29" t="s">
        <v>76</v>
      </c>
      <c r="F10" s="26" t="s">
        <v>82</v>
      </c>
      <c r="G10" s="29" t="s">
        <v>146</v>
      </c>
      <c r="H10" s="26"/>
    </row>
    <row r="11" spans="1:8" s="18" customFormat="1" x14ac:dyDescent="0.3">
      <c r="A11" s="22" t="s">
        <v>186</v>
      </c>
      <c r="B11" s="22" t="s">
        <v>187</v>
      </c>
      <c r="C11" s="64" t="s">
        <v>167</v>
      </c>
      <c r="D11" s="22" t="s">
        <v>227</v>
      </c>
      <c r="E11" s="27" t="s">
        <v>76</v>
      </c>
      <c r="F11" s="22" t="s">
        <v>82</v>
      </c>
      <c r="G11" s="27" t="s">
        <v>158</v>
      </c>
      <c r="H11" s="61"/>
    </row>
    <row r="12" spans="1:8" x14ac:dyDescent="0.3">
      <c r="A12" s="4">
        <v>1644</v>
      </c>
      <c r="B12" s="4" t="s">
        <v>22</v>
      </c>
      <c r="C12" s="64" t="s">
        <v>193</v>
      </c>
      <c r="D12" s="22" t="s">
        <v>227</v>
      </c>
      <c r="E12" s="27" t="s">
        <v>345</v>
      </c>
      <c r="F12" s="64" t="s">
        <v>303</v>
      </c>
      <c r="G12" s="27" t="s">
        <v>163</v>
      </c>
      <c r="H12" s="4" t="s">
        <v>6</v>
      </c>
    </row>
    <row r="13" spans="1:8" x14ac:dyDescent="0.3">
      <c r="A13" s="4">
        <v>1656</v>
      </c>
      <c r="B13" s="4" t="s">
        <v>24</v>
      </c>
      <c r="C13" s="64" t="s">
        <v>167</v>
      </c>
      <c r="D13" s="73" t="s">
        <v>227</v>
      </c>
      <c r="E13" s="2" t="s">
        <v>77</v>
      </c>
      <c r="F13" s="4" t="s">
        <v>82</v>
      </c>
      <c r="G13" s="27" t="s">
        <v>307</v>
      </c>
      <c r="H13" s="4" t="s">
        <v>8</v>
      </c>
    </row>
    <row r="14" spans="1:8" x14ac:dyDescent="0.3">
      <c r="A14" s="4">
        <v>1659</v>
      </c>
      <c r="B14" s="4" t="s">
        <v>25</v>
      </c>
      <c r="C14" s="64" t="s">
        <v>193</v>
      </c>
      <c r="D14" s="73" t="s">
        <v>227</v>
      </c>
      <c r="E14" s="27" t="s">
        <v>302</v>
      </c>
      <c r="F14" s="71" t="s">
        <v>83</v>
      </c>
      <c r="G14" s="27" t="s">
        <v>163</v>
      </c>
      <c r="H14" s="4" t="s">
        <v>9</v>
      </c>
    </row>
    <row r="15" spans="1:8" x14ac:dyDescent="0.3">
      <c r="A15" s="22">
        <v>1666</v>
      </c>
      <c r="B15" s="22" t="s">
        <v>132</v>
      </c>
      <c r="C15" s="64" t="s">
        <v>167</v>
      </c>
      <c r="D15" s="73" t="s">
        <v>227</v>
      </c>
      <c r="E15" s="27" t="s">
        <v>302</v>
      </c>
      <c r="F15" s="71" t="s">
        <v>83</v>
      </c>
      <c r="G15" s="27" t="s">
        <v>307</v>
      </c>
      <c r="H15" s="4" t="s">
        <v>133</v>
      </c>
    </row>
    <row r="16" spans="1:8" s="18" customFormat="1" x14ac:dyDescent="0.3">
      <c r="A16" s="22">
        <v>1700</v>
      </c>
      <c r="B16" s="22" t="s">
        <v>275</v>
      </c>
      <c r="C16" s="64" t="s">
        <v>193</v>
      </c>
      <c r="D16" s="73" t="s">
        <v>227</v>
      </c>
      <c r="E16" s="27" t="s">
        <v>215</v>
      </c>
      <c r="F16" s="64" t="s">
        <v>217</v>
      </c>
      <c r="G16" s="27" t="s">
        <v>158</v>
      </c>
      <c r="H16" s="4"/>
    </row>
    <row r="17" spans="1:8" x14ac:dyDescent="0.3">
      <c r="A17" s="51">
        <v>1706</v>
      </c>
      <c r="B17" s="51" t="s">
        <v>316</v>
      </c>
      <c r="C17" s="87" t="s">
        <v>193</v>
      </c>
      <c r="D17" s="88" t="s">
        <v>227</v>
      </c>
      <c r="E17" s="29" t="s">
        <v>346</v>
      </c>
      <c r="F17" s="87" t="s">
        <v>82</v>
      </c>
      <c r="G17" s="29" t="s">
        <v>146</v>
      </c>
      <c r="H17" s="87" t="s">
        <v>321</v>
      </c>
    </row>
    <row r="18" spans="1:8" s="18" customFormat="1" x14ac:dyDescent="0.3">
      <c r="A18" s="6" t="s">
        <v>209</v>
      </c>
      <c r="B18" s="4" t="s">
        <v>213</v>
      </c>
      <c r="C18" s="64" t="s">
        <v>193</v>
      </c>
      <c r="D18" s="73" t="s">
        <v>227</v>
      </c>
      <c r="E18" s="2" t="s">
        <v>302</v>
      </c>
      <c r="F18" s="71" t="s">
        <v>83</v>
      </c>
      <c r="G18" s="2" t="s">
        <v>158</v>
      </c>
      <c r="H18" s="4" t="s">
        <v>221</v>
      </c>
    </row>
    <row r="19" spans="1:8" x14ac:dyDescent="0.3">
      <c r="A19" s="86" t="s">
        <v>314</v>
      </c>
      <c r="B19" s="87" t="s">
        <v>317</v>
      </c>
      <c r="C19" s="87" t="s">
        <v>193</v>
      </c>
      <c r="D19" s="88" t="s">
        <v>227</v>
      </c>
      <c r="E19" s="30" t="s">
        <v>319</v>
      </c>
      <c r="F19" s="87" t="s">
        <v>84</v>
      </c>
      <c r="G19" s="30" t="s">
        <v>146</v>
      </c>
      <c r="H19" s="87" t="s">
        <v>322</v>
      </c>
    </row>
    <row r="20" spans="1:8" x14ac:dyDescent="0.3">
      <c r="A20" s="4">
        <v>1715</v>
      </c>
      <c r="B20" s="4" t="s">
        <v>134</v>
      </c>
      <c r="C20" s="64" t="s">
        <v>193</v>
      </c>
      <c r="D20" s="73" t="s">
        <v>227</v>
      </c>
      <c r="E20" s="27" t="s">
        <v>80</v>
      </c>
      <c r="F20" s="4" t="s">
        <v>86</v>
      </c>
      <c r="G20" s="27" t="s">
        <v>160</v>
      </c>
      <c r="H20" s="4" t="s">
        <v>135</v>
      </c>
    </row>
    <row r="21" spans="1:8" x14ac:dyDescent="0.3">
      <c r="A21" s="22">
        <v>2002</v>
      </c>
      <c r="B21" s="22" t="s">
        <v>207</v>
      </c>
      <c r="C21" s="64" t="s">
        <v>167</v>
      </c>
      <c r="D21" s="22" t="s">
        <v>227</v>
      </c>
      <c r="E21" s="27" t="s">
        <v>345</v>
      </c>
      <c r="F21" s="22" t="s">
        <v>303</v>
      </c>
      <c r="G21" s="27" t="s">
        <v>160</v>
      </c>
      <c r="H21" s="61"/>
    </row>
    <row r="22" spans="1:8" s="18" customFormat="1" x14ac:dyDescent="0.3">
      <c r="A22" s="4">
        <v>2018</v>
      </c>
      <c r="B22" s="4" t="s">
        <v>301</v>
      </c>
      <c r="C22" s="64" t="s">
        <v>193</v>
      </c>
      <c r="D22" s="73" t="s">
        <v>227</v>
      </c>
      <c r="E22" s="27" t="s">
        <v>205</v>
      </c>
      <c r="F22" s="64" t="s">
        <v>86</v>
      </c>
      <c r="G22" s="27" t="s">
        <v>158</v>
      </c>
      <c r="H22" s="4"/>
    </row>
    <row r="23" spans="1:8" x14ac:dyDescent="0.3">
      <c r="A23" s="2" t="s">
        <v>81</v>
      </c>
      <c r="B23" s="2">
        <v>21</v>
      </c>
      <c r="C23" s="4"/>
      <c r="D23" s="4"/>
      <c r="E23" s="27"/>
      <c r="F23" s="4"/>
      <c r="G23" s="2"/>
      <c r="H23" s="17"/>
    </row>
    <row r="24" spans="1:8" x14ac:dyDescent="0.3">
      <c r="A24" s="2"/>
      <c r="B24" s="2" t="s">
        <v>310</v>
      </c>
      <c r="C24" s="11" t="s">
        <v>309</v>
      </c>
      <c r="D24" s="19" t="s">
        <v>145</v>
      </c>
      <c r="F24" s="14"/>
      <c r="G24" s="23"/>
      <c r="H24" s="14"/>
    </row>
    <row r="25" spans="1:8" x14ac:dyDescent="0.3">
      <c r="A25" s="30" t="s">
        <v>198</v>
      </c>
      <c r="B25" s="30">
        <v>21</v>
      </c>
      <c r="C25" s="65">
        <v>7</v>
      </c>
      <c r="D25" s="122">
        <f>C25/B25</f>
        <v>0.33333333333333331</v>
      </c>
      <c r="E25" s="14"/>
      <c r="F25" s="23"/>
      <c r="G25" s="60"/>
      <c r="H25"/>
    </row>
    <row r="26" spans="1:8" x14ac:dyDescent="0.3">
      <c r="C26" s="14"/>
      <c r="E26" s="14"/>
      <c r="F26" s="23"/>
      <c r="G26" s="60"/>
      <c r="H26"/>
    </row>
    <row r="27" spans="1:8" x14ac:dyDescent="0.3">
      <c r="A27" s="11" t="s">
        <v>88</v>
      </c>
      <c r="B27" s="11" t="s">
        <v>234</v>
      </c>
      <c r="C27" s="11" t="s">
        <v>146</v>
      </c>
      <c r="D27" s="11" t="s">
        <v>145</v>
      </c>
      <c r="E27" s="14"/>
      <c r="F27" s="23"/>
      <c r="G27" s="60"/>
      <c r="H27"/>
    </row>
    <row r="28" spans="1:8" x14ac:dyDescent="0.3">
      <c r="A28" s="17">
        <v>8108</v>
      </c>
      <c r="B28" s="17">
        <v>1</v>
      </c>
      <c r="C28" s="17">
        <v>1</v>
      </c>
      <c r="D28" s="62">
        <f t="shared" ref="D28:D39" si="0">C28/B28</f>
        <v>1</v>
      </c>
      <c r="E28" s="14"/>
      <c r="F28" s="23"/>
      <c r="G28" s="60"/>
      <c r="H28"/>
    </row>
    <row r="29" spans="1:8" x14ac:dyDescent="0.3">
      <c r="A29" s="17" t="s">
        <v>305</v>
      </c>
      <c r="B29" s="17">
        <v>5</v>
      </c>
      <c r="C29" s="17">
        <v>2</v>
      </c>
      <c r="D29" s="62">
        <f t="shared" si="0"/>
        <v>0.4</v>
      </c>
      <c r="E29" s="14"/>
      <c r="F29" s="23"/>
      <c r="G29" s="60"/>
      <c r="H29"/>
    </row>
    <row r="30" spans="1:8" x14ac:dyDescent="0.3">
      <c r="A30" s="17" t="s">
        <v>205</v>
      </c>
      <c r="B30" s="17">
        <v>2</v>
      </c>
      <c r="C30" s="17">
        <v>0</v>
      </c>
      <c r="D30" s="62">
        <f t="shared" si="0"/>
        <v>0</v>
      </c>
      <c r="E30" s="14"/>
      <c r="F30" s="23"/>
      <c r="G30" s="60"/>
      <c r="H30"/>
    </row>
    <row r="31" spans="1:8" x14ac:dyDescent="0.3">
      <c r="A31" s="17" t="s">
        <v>80</v>
      </c>
      <c r="B31" s="17">
        <v>1</v>
      </c>
      <c r="C31" s="17">
        <v>0</v>
      </c>
      <c r="D31" s="62">
        <f t="shared" si="0"/>
        <v>0</v>
      </c>
      <c r="E31" s="14"/>
      <c r="F31" s="23"/>
      <c r="G31" s="60"/>
      <c r="H31"/>
    </row>
    <row r="32" spans="1:8" x14ac:dyDescent="0.3">
      <c r="A32" s="17" t="s">
        <v>306</v>
      </c>
      <c r="B32" s="17">
        <v>1</v>
      </c>
      <c r="C32" s="17">
        <v>0</v>
      </c>
      <c r="D32" s="62">
        <f t="shared" si="0"/>
        <v>0</v>
      </c>
      <c r="E32" s="14"/>
      <c r="F32" s="23"/>
      <c r="G32" s="60"/>
      <c r="H32"/>
    </row>
    <row r="33" spans="1:8" x14ac:dyDescent="0.3">
      <c r="A33" s="17" t="s">
        <v>319</v>
      </c>
      <c r="B33" s="17">
        <v>1</v>
      </c>
      <c r="C33" s="17">
        <v>1</v>
      </c>
      <c r="D33" s="62">
        <f t="shared" si="0"/>
        <v>1</v>
      </c>
      <c r="E33" s="14"/>
      <c r="F33" s="23"/>
      <c r="G33" s="60"/>
      <c r="H33"/>
    </row>
    <row r="34" spans="1:8" x14ac:dyDescent="0.3">
      <c r="A34" s="17" t="s">
        <v>201</v>
      </c>
      <c r="B34" s="17">
        <v>1</v>
      </c>
      <c r="C34" s="17">
        <v>0</v>
      </c>
      <c r="D34" s="62">
        <f t="shared" si="0"/>
        <v>0</v>
      </c>
      <c r="E34" s="14"/>
      <c r="F34" s="23"/>
      <c r="G34" s="60"/>
      <c r="H34"/>
    </row>
    <row r="35" spans="1:8" x14ac:dyDescent="0.3">
      <c r="A35" s="17" t="s">
        <v>77</v>
      </c>
      <c r="B35" s="17">
        <v>1</v>
      </c>
      <c r="C35" s="17">
        <v>0</v>
      </c>
      <c r="D35" s="62">
        <f t="shared" si="0"/>
        <v>0</v>
      </c>
      <c r="E35" s="14"/>
      <c r="F35" s="23"/>
      <c r="G35" s="60"/>
      <c r="H35"/>
    </row>
    <row r="36" spans="1:8" x14ac:dyDescent="0.3">
      <c r="A36" s="17" t="s">
        <v>315</v>
      </c>
      <c r="B36" s="17">
        <v>1</v>
      </c>
      <c r="C36" s="17">
        <v>1</v>
      </c>
      <c r="D36" s="62">
        <f t="shared" si="0"/>
        <v>1</v>
      </c>
      <c r="E36" s="60"/>
      <c r="F36" s="23"/>
      <c r="G36" s="60"/>
      <c r="H36"/>
    </row>
    <row r="37" spans="1:8" x14ac:dyDescent="0.3">
      <c r="A37" s="17" t="s">
        <v>76</v>
      </c>
      <c r="B37" s="17">
        <v>2</v>
      </c>
      <c r="C37" s="17">
        <v>1</v>
      </c>
      <c r="D37" s="62">
        <f t="shared" si="0"/>
        <v>0.5</v>
      </c>
    </row>
    <row r="38" spans="1:8" x14ac:dyDescent="0.3">
      <c r="A38" s="17" t="s">
        <v>215</v>
      </c>
      <c r="B38" s="17">
        <v>1</v>
      </c>
      <c r="C38" s="17">
        <v>0</v>
      </c>
      <c r="D38" s="62">
        <f t="shared" si="0"/>
        <v>0</v>
      </c>
    </row>
    <row r="39" spans="1:8" x14ac:dyDescent="0.3">
      <c r="A39" s="17" t="s">
        <v>232</v>
      </c>
      <c r="B39" s="17">
        <v>4</v>
      </c>
      <c r="C39" s="17">
        <v>1</v>
      </c>
      <c r="D39" s="62">
        <f t="shared" si="0"/>
        <v>0.25</v>
      </c>
    </row>
    <row r="40" spans="1:8" x14ac:dyDescent="0.3">
      <c r="A40" s="11" t="s">
        <v>81</v>
      </c>
      <c r="B40" s="11">
        <f>SUBTOTAL(9,B28:B39)</f>
        <v>21</v>
      </c>
      <c r="C40" s="11">
        <f>SUM(C28:C39)</f>
        <v>7</v>
      </c>
      <c r="D40" s="58">
        <f t="shared" ref="D40" si="1">C40/B40</f>
        <v>0.33333333333333331</v>
      </c>
    </row>
  </sheetData>
  <autoFilter ref="A1:H25" xr:uid="{D1850386-AAC2-4ECC-ABAE-ECBD3270515B}"/>
  <sortState xmlns:xlrd2="http://schemas.microsoft.com/office/spreadsheetml/2017/richdata2" ref="A26:D35">
    <sortCondition ref="A26:A35"/>
  </sortState>
  <pageMargins left="0.511811024" right="0.511811024" top="0.78740157499999996" bottom="0.78740157499999996" header="0.31496062000000002" footer="0.31496062000000002"/>
  <pageSetup paperSize="9" scale="78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4C06-F0C0-4B81-AFEF-218B93F520B6}">
  <dimension ref="A1:I35"/>
  <sheetViews>
    <sheetView tabSelected="1" workbookViewId="0">
      <selection activeCell="M13" sqref="M13"/>
    </sheetView>
  </sheetViews>
  <sheetFormatPr defaultRowHeight="14.4" x14ac:dyDescent="0.3"/>
  <cols>
    <col min="1" max="1" width="11.44140625" style="18" customWidth="1"/>
    <col min="2" max="2" width="11.109375" bestFit="1" customWidth="1"/>
    <col min="3" max="3" width="17" bestFit="1" customWidth="1"/>
    <col min="4" max="4" width="12.5546875" bestFit="1" customWidth="1"/>
    <col min="5" max="5" width="15.21875" bestFit="1" customWidth="1"/>
    <col min="6" max="6" width="9.88671875" bestFit="1" customWidth="1"/>
    <col min="7" max="7" width="13.44140625" customWidth="1"/>
    <col min="8" max="8" width="10.6640625" bestFit="1" customWidth="1"/>
    <col min="9" max="9" width="14.21875" style="99" bestFit="1" customWidth="1"/>
  </cols>
  <sheetData>
    <row r="1" spans="1:9" x14ac:dyDescent="0.3">
      <c r="A1" s="1" t="s">
        <v>0</v>
      </c>
      <c r="B1" s="2" t="s">
        <v>1</v>
      </c>
      <c r="C1" s="2" t="s">
        <v>360</v>
      </c>
      <c r="D1" s="2" t="s">
        <v>361</v>
      </c>
      <c r="E1" s="3" t="s">
        <v>362</v>
      </c>
      <c r="F1" s="3" t="s">
        <v>2</v>
      </c>
      <c r="G1" s="2" t="s">
        <v>380</v>
      </c>
      <c r="H1" s="2" t="s">
        <v>4</v>
      </c>
      <c r="I1" s="97" t="s">
        <v>376</v>
      </c>
    </row>
    <row r="2" spans="1:9" x14ac:dyDescent="0.3">
      <c r="A2" s="6" t="s">
        <v>255</v>
      </c>
      <c r="B2" s="4" t="s">
        <v>260</v>
      </c>
      <c r="C2" s="64" t="s">
        <v>167</v>
      </c>
      <c r="D2" s="85" t="s">
        <v>227</v>
      </c>
      <c r="E2" s="2" t="s">
        <v>306</v>
      </c>
      <c r="F2" s="71" t="s">
        <v>83</v>
      </c>
      <c r="G2" s="3" t="s">
        <v>393</v>
      </c>
      <c r="H2" s="4"/>
      <c r="I2" s="98" t="s">
        <v>377</v>
      </c>
    </row>
    <row r="3" spans="1:9" x14ac:dyDescent="0.3">
      <c r="A3" s="6" t="s">
        <v>258</v>
      </c>
      <c r="B3" s="4" t="s">
        <v>264</v>
      </c>
      <c r="C3" s="64" t="s">
        <v>311</v>
      </c>
      <c r="D3" s="85" t="s">
        <v>227</v>
      </c>
      <c r="E3" s="3" t="s">
        <v>370</v>
      </c>
      <c r="F3" s="7" t="s">
        <v>303</v>
      </c>
      <c r="G3" s="3" t="s">
        <v>393</v>
      </c>
      <c r="H3" s="4"/>
      <c r="I3" s="98" t="s">
        <v>378</v>
      </c>
    </row>
    <row r="4" spans="1:9" x14ac:dyDescent="0.3">
      <c r="A4" s="51" t="s">
        <v>168</v>
      </c>
      <c r="B4" s="51" t="s">
        <v>169</v>
      </c>
      <c r="C4" s="115" t="s">
        <v>167</v>
      </c>
      <c r="D4" s="116" t="s">
        <v>227</v>
      </c>
      <c r="E4" s="29" t="s">
        <v>365</v>
      </c>
      <c r="F4" s="51" t="s">
        <v>366</v>
      </c>
      <c r="G4" s="29" t="s">
        <v>146</v>
      </c>
      <c r="H4" s="56"/>
      <c r="I4" s="117" t="s">
        <v>377</v>
      </c>
    </row>
    <row r="5" spans="1:9" x14ac:dyDescent="0.3">
      <c r="A5" s="4">
        <v>1577</v>
      </c>
      <c r="B5" s="4" t="s">
        <v>200</v>
      </c>
      <c r="C5" s="64" t="s">
        <v>194</v>
      </c>
      <c r="D5" s="85" t="s">
        <v>227</v>
      </c>
      <c r="E5" s="27" t="s">
        <v>201</v>
      </c>
      <c r="F5" s="4" t="s">
        <v>83</v>
      </c>
      <c r="G5" s="27" t="s">
        <v>160</v>
      </c>
      <c r="H5" s="17"/>
      <c r="I5" s="98">
        <v>5</v>
      </c>
    </row>
    <row r="6" spans="1:9" x14ac:dyDescent="0.3">
      <c r="A6" s="4">
        <v>1589</v>
      </c>
      <c r="B6" s="4" t="s">
        <v>266</v>
      </c>
      <c r="C6" s="83" t="s">
        <v>167</v>
      </c>
      <c r="D6" s="85" t="s">
        <v>227</v>
      </c>
      <c r="E6" s="27" t="s">
        <v>365</v>
      </c>
      <c r="F6" s="82" t="s">
        <v>366</v>
      </c>
      <c r="G6" s="27" t="s">
        <v>308</v>
      </c>
      <c r="H6" s="4"/>
      <c r="I6" s="98">
        <v>11.6</v>
      </c>
    </row>
    <row r="7" spans="1:9" x14ac:dyDescent="0.3">
      <c r="A7" s="51" t="s">
        <v>180</v>
      </c>
      <c r="B7" s="51" t="s">
        <v>181</v>
      </c>
      <c r="C7" s="115" t="s">
        <v>167</v>
      </c>
      <c r="D7" s="116" t="s">
        <v>227</v>
      </c>
      <c r="E7" s="29" t="s">
        <v>74</v>
      </c>
      <c r="F7" s="51" t="s">
        <v>363</v>
      </c>
      <c r="G7" s="29" t="s">
        <v>146</v>
      </c>
      <c r="H7" s="56"/>
      <c r="I7" s="117">
        <v>11.6</v>
      </c>
    </row>
    <row r="8" spans="1:9" x14ac:dyDescent="0.3">
      <c r="A8" s="22" t="s">
        <v>184</v>
      </c>
      <c r="B8" s="22" t="s">
        <v>185</v>
      </c>
      <c r="C8" s="83" t="s">
        <v>167</v>
      </c>
      <c r="D8" s="85" t="s">
        <v>227</v>
      </c>
      <c r="E8" s="27" t="s">
        <v>364</v>
      </c>
      <c r="F8" s="22" t="s">
        <v>366</v>
      </c>
      <c r="G8" s="27" t="s">
        <v>308</v>
      </c>
      <c r="H8" s="61"/>
      <c r="I8" s="98">
        <v>3</v>
      </c>
    </row>
    <row r="9" spans="1:9" x14ac:dyDescent="0.3">
      <c r="A9" s="26">
        <v>1644</v>
      </c>
      <c r="B9" s="26" t="s">
        <v>22</v>
      </c>
      <c r="C9" s="87" t="s">
        <v>193</v>
      </c>
      <c r="D9" s="116" t="s">
        <v>227</v>
      </c>
      <c r="E9" s="29" t="s">
        <v>345</v>
      </c>
      <c r="F9" s="87" t="s">
        <v>303</v>
      </c>
      <c r="G9" s="29" t="s">
        <v>146</v>
      </c>
      <c r="H9" s="26" t="s">
        <v>6</v>
      </c>
      <c r="I9" s="117">
        <v>14.4</v>
      </c>
    </row>
    <row r="10" spans="1:9" x14ac:dyDescent="0.3">
      <c r="A10" s="6" t="s">
        <v>149</v>
      </c>
      <c r="B10" s="4" t="s">
        <v>150</v>
      </c>
      <c r="C10" s="83" t="s">
        <v>369</v>
      </c>
      <c r="D10" s="85" t="s">
        <v>227</v>
      </c>
      <c r="E10" s="2" t="s">
        <v>364</v>
      </c>
      <c r="F10" s="22" t="s">
        <v>366</v>
      </c>
      <c r="G10" s="3" t="s">
        <v>308</v>
      </c>
      <c r="H10" s="80" t="s">
        <v>154</v>
      </c>
      <c r="I10" s="98">
        <v>12.4</v>
      </c>
    </row>
    <row r="11" spans="1:9" x14ac:dyDescent="0.3">
      <c r="A11" s="26">
        <v>1656</v>
      </c>
      <c r="B11" s="26" t="s">
        <v>24</v>
      </c>
      <c r="C11" s="87" t="s">
        <v>167</v>
      </c>
      <c r="D11" s="116" t="s">
        <v>227</v>
      </c>
      <c r="E11" s="30" t="s">
        <v>77</v>
      </c>
      <c r="F11" s="26" t="s">
        <v>82</v>
      </c>
      <c r="G11" s="29" t="s">
        <v>146</v>
      </c>
      <c r="H11" s="26" t="s">
        <v>8</v>
      </c>
      <c r="I11" s="117">
        <v>12.3</v>
      </c>
    </row>
    <row r="12" spans="1:9" x14ac:dyDescent="0.3">
      <c r="A12" s="4">
        <v>1659</v>
      </c>
      <c r="B12" s="4" t="s">
        <v>25</v>
      </c>
      <c r="C12" s="64" t="s">
        <v>193</v>
      </c>
      <c r="D12" s="85" t="s">
        <v>227</v>
      </c>
      <c r="E12" s="27" t="s">
        <v>302</v>
      </c>
      <c r="F12" s="71" t="s">
        <v>83</v>
      </c>
      <c r="G12" s="27" t="s">
        <v>160</v>
      </c>
      <c r="H12" s="4" t="s">
        <v>9</v>
      </c>
      <c r="I12" s="98" t="s">
        <v>377</v>
      </c>
    </row>
    <row r="13" spans="1:9" x14ac:dyDescent="0.3">
      <c r="A13" s="22">
        <v>1666</v>
      </c>
      <c r="B13" s="22" t="s">
        <v>132</v>
      </c>
      <c r="C13" s="64" t="s">
        <v>167</v>
      </c>
      <c r="D13" s="85" t="s">
        <v>227</v>
      </c>
      <c r="E13" s="27" t="s">
        <v>302</v>
      </c>
      <c r="F13" s="71" t="s">
        <v>83</v>
      </c>
      <c r="G13" s="27" t="s">
        <v>308</v>
      </c>
      <c r="H13" s="4" t="s">
        <v>133</v>
      </c>
      <c r="I13" s="98">
        <v>12.2</v>
      </c>
    </row>
    <row r="14" spans="1:9" x14ac:dyDescent="0.3">
      <c r="A14" s="4">
        <v>1715</v>
      </c>
      <c r="B14" s="4" t="s">
        <v>134</v>
      </c>
      <c r="C14" s="64" t="s">
        <v>193</v>
      </c>
      <c r="D14" s="85" t="s">
        <v>227</v>
      </c>
      <c r="E14" s="27" t="s">
        <v>80</v>
      </c>
      <c r="F14" s="4" t="s">
        <v>86</v>
      </c>
      <c r="G14" s="27" t="s">
        <v>160</v>
      </c>
      <c r="H14" s="4" t="s">
        <v>135</v>
      </c>
      <c r="I14" s="98">
        <v>12.4</v>
      </c>
    </row>
    <row r="15" spans="1:9" x14ac:dyDescent="0.3">
      <c r="A15" s="4">
        <v>1751</v>
      </c>
      <c r="B15" s="4" t="s">
        <v>268</v>
      </c>
      <c r="C15" s="83" t="s">
        <v>167</v>
      </c>
      <c r="D15" s="85" t="s">
        <v>227</v>
      </c>
      <c r="E15" s="27" t="s">
        <v>364</v>
      </c>
      <c r="F15" s="22" t="s">
        <v>366</v>
      </c>
      <c r="G15" s="27" t="s">
        <v>308</v>
      </c>
      <c r="H15" s="4"/>
      <c r="I15" s="98">
        <v>11.5</v>
      </c>
    </row>
    <row r="16" spans="1:9" x14ac:dyDescent="0.3">
      <c r="A16" s="22">
        <v>2002</v>
      </c>
      <c r="B16" s="22" t="s">
        <v>207</v>
      </c>
      <c r="C16" s="64" t="s">
        <v>167</v>
      </c>
      <c r="D16" s="85" t="s">
        <v>227</v>
      </c>
      <c r="E16" s="27" t="s">
        <v>345</v>
      </c>
      <c r="F16" s="22" t="s">
        <v>303</v>
      </c>
      <c r="G16" s="27" t="s">
        <v>160</v>
      </c>
      <c r="H16" s="61"/>
      <c r="I16" s="98">
        <v>13.4</v>
      </c>
    </row>
    <row r="17" spans="1:9" x14ac:dyDescent="0.3">
      <c r="A17" s="4">
        <v>2005</v>
      </c>
      <c r="B17" s="4" t="s">
        <v>271</v>
      </c>
      <c r="C17" s="83" t="s">
        <v>167</v>
      </c>
      <c r="D17" s="85" t="s">
        <v>227</v>
      </c>
      <c r="E17" s="27" t="s">
        <v>201</v>
      </c>
      <c r="F17" s="81" t="s">
        <v>363</v>
      </c>
      <c r="G17" s="27" t="s">
        <v>308</v>
      </c>
      <c r="H17" s="4"/>
      <c r="I17" s="98">
        <v>9</v>
      </c>
    </row>
    <row r="18" spans="1:9" x14ac:dyDescent="0.3">
      <c r="A18" s="2" t="s">
        <v>81</v>
      </c>
      <c r="B18" s="2">
        <v>16</v>
      </c>
      <c r="C18" s="100" t="s">
        <v>145</v>
      </c>
      <c r="D18" s="4"/>
      <c r="E18" s="27"/>
      <c r="F18" s="22"/>
      <c r="G18" s="2"/>
      <c r="H18" s="17"/>
      <c r="I18" s="98"/>
    </row>
    <row r="19" spans="1:9" x14ac:dyDescent="0.3">
      <c r="A19" s="30" t="s">
        <v>309</v>
      </c>
      <c r="B19" s="12">
        <v>4</v>
      </c>
      <c r="C19" s="54">
        <f>B19/B18</f>
        <v>0.25</v>
      </c>
      <c r="D19" s="18"/>
      <c r="E19" s="18"/>
      <c r="F19" s="14"/>
      <c r="G19" s="23"/>
      <c r="H19" s="14"/>
    </row>
    <row r="20" spans="1:9" x14ac:dyDescent="0.3">
      <c r="A20" s="2"/>
      <c r="B20" s="11"/>
      <c r="C20" s="58"/>
      <c r="D20" s="18"/>
      <c r="E20" s="18"/>
      <c r="F20" s="14"/>
      <c r="G20" s="23"/>
      <c r="H20" s="14"/>
    </row>
    <row r="21" spans="1:9" x14ac:dyDescent="0.3">
      <c r="A21" s="2" t="s">
        <v>88</v>
      </c>
      <c r="B21" s="2" t="s">
        <v>234</v>
      </c>
      <c r="C21" s="2" t="s">
        <v>146</v>
      </c>
      <c r="D21" s="2" t="s">
        <v>145</v>
      </c>
      <c r="E21" s="2"/>
      <c r="F21" s="14"/>
      <c r="G21" s="23"/>
      <c r="H21" s="14"/>
    </row>
    <row r="22" spans="1:9" x14ac:dyDescent="0.3">
      <c r="A22" s="100" t="s">
        <v>305</v>
      </c>
      <c r="B22" s="100">
        <v>1</v>
      </c>
      <c r="C22" s="100">
        <v>1</v>
      </c>
      <c r="D22" s="101">
        <f t="shared" ref="D22:D32" si="0">C22/B22</f>
        <v>1</v>
      </c>
      <c r="E22" s="4"/>
      <c r="F22" s="14"/>
      <c r="G22" s="23"/>
      <c r="H22" s="14"/>
    </row>
    <row r="23" spans="1:9" x14ac:dyDescent="0.3">
      <c r="A23" s="100" t="s">
        <v>371</v>
      </c>
      <c r="B23" s="100">
        <v>2</v>
      </c>
      <c r="C23" s="100">
        <v>0</v>
      </c>
      <c r="D23" s="101">
        <f t="shared" si="0"/>
        <v>0</v>
      </c>
      <c r="E23" s="4"/>
      <c r="F23" s="14"/>
      <c r="G23" s="23"/>
      <c r="H23" s="14"/>
    </row>
    <row r="24" spans="1:9" x14ac:dyDescent="0.3">
      <c r="A24" s="100" t="s">
        <v>80</v>
      </c>
      <c r="B24" s="100">
        <v>1</v>
      </c>
      <c r="C24" s="100">
        <v>0</v>
      </c>
      <c r="D24" s="101">
        <f t="shared" si="0"/>
        <v>0</v>
      </c>
      <c r="E24" s="4"/>
      <c r="F24" s="14"/>
      <c r="G24" s="23"/>
      <c r="H24" s="14"/>
    </row>
    <row r="25" spans="1:9" x14ac:dyDescent="0.3">
      <c r="A25" s="100" t="s">
        <v>306</v>
      </c>
      <c r="B25" s="100">
        <v>1</v>
      </c>
      <c r="C25" s="100">
        <v>0</v>
      </c>
      <c r="D25" s="101">
        <f t="shared" si="0"/>
        <v>0</v>
      </c>
      <c r="E25" s="4"/>
      <c r="F25" s="14"/>
      <c r="G25" s="23"/>
      <c r="H25" s="14"/>
    </row>
    <row r="26" spans="1:9" x14ac:dyDescent="0.3">
      <c r="A26" s="100" t="s">
        <v>201</v>
      </c>
      <c r="B26" s="100">
        <v>2</v>
      </c>
      <c r="C26" s="100">
        <v>0</v>
      </c>
      <c r="D26" s="101">
        <f t="shared" si="0"/>
        <v>0</v>
      </c>
      <c r="E26" s="4"/>
      <c r="F26" s="14"/>
      <c r="G26" s="23"/>
      <c r="H26" s="14"/>
    </row>
    <row r="27" spans="1:9" x14ac:dyDescent="0.3">
      <c r="A27" s="100" t="s">
        <v>74</v>
      </c>
      <c r="B27" s="100">
        <v>1</v>
      </c>
      <c r="C27" s="100">
        <v>1</v>
      </c>
      <c r="D27" s="101">
        <f t="shared" si="0"/>
        <v>1</v>
      </c>
      <c r="E27" s="4"/>
      <c r="F27" s="14"/>
      <c r="G27" s="23"/>
      <c r="H27" s="14"/>
    </row>
    <row r="28" spans="1:9" x14ac:dyDescent="0.3">
      <c r="A28" s="100" t="s">
        <v>77</v>
      </c>
      <c r="B28" s="100">
        <v>1</v>
      </c>
      <c r="C28" s="100">
        <v>1</v>
      </c>
      <c r="D28" s="101">
        <f t="shared" si="0"/>
        <v>1</v>
      </c>
      <c r="E28" s="4"/>
      <c r="F28" s="14"/>
      <c r="G28" s="23"/>
      <c r="H28" s="14"/>
    </row>
    <row r="29" spans="1:9" x14ac:dyDescent="0.3">
      <c r="A29" s="100" t="s">
        <v>365</v>
      </c>
      <c r="B29" s="100">
        <v>2</v>
      </c>
      <c r="C29" s="100">
        <v>1</v>
      </c>
      <c r="D29" s="101">
        <f t="shared" si="0"/>
        <v>0.5</v>
      </c>
      <c r="E29" s="4"/>
      <c r="F29" s="14"/>
      <c r="G29" s="23"/>
      <c r="H29" s="14"/>
    </row>
    <row r="30" spans="1:9" x14ac:dyDescent="0.3">
      <c r="A30" s="100" t="s">
        <v>372</v>
      </c>
      <c r="B30" s="100">
        <v>3</v>
      </c>
      <c r="C30" s="100">
        <v>0</v>
      </c>
      <c r="D30" s="101">
        <f t="shared" si="0"/>
        <v>0</v>
      </c>
      <c r="E30" s="4"/>
      <c r="F30" s="14"/>
      <c r="G30" s="23"/>
      <c r="H30" s="14"/>
    </row>
    <row r="31" spans="1:9" x14ac:dyDescent="0.3">
      <c r="A31" s="100" t="s">
        <v>232</v>
      </c>
      <c r="B31" s="100">
        <v>2</v>
      </c>
      <c r="C31" s="100">
        <v>0</v>
      </c>
      <c r="D31" s="101">
        <f t="shared" si="0"/>
        <v>0</v>
      </c>
      <c r="E31" s="4"/>
      <c r="F31" s="14"/>
      <c r="G31" s="23"/>
      <c r="H31" s="14"/>
    </row>
    <row r="32" spans="1:9" x14ac:dyDescent="0.3">
      <c r="A32" s="2" t="s">
        <v>81</v>
      </c>
      <c r="B32" s="2">
        <f>SUM(B22:B31)</f>
        <v>16</v>
      </c>
      <c r="C32" s="2">
        <f>SUM(C22:C31)</f>
        <v>4</v>
      </c>
      <c r="D32" s="102">
        <f t="shared" si="0"/>
        <v>0.25</v>
      </c>
      <c r="E32" s="2"/>
      <c r="F32" s="60"/>
      <c r="G32" s="23"/>
      <c r="H32" s="60"/>
    </row>
    <row r="33" spans="2:8" x14ac:dyDescent="0.3">
      <c r="B33" s="18"/>
      <c r="C33" s="18"/>
      <c r="D33" s="18"/>
      <c r="E33" s="18"/>
      <c r="F33" s="18"/>
      <c r="G33" s="18"/>
      <c r="H33" s="18"/>
    </row>
    <row r="34" spans="2:8" x14ac:dyDescent="0.3">
      <c r="B34" s="18"/>
      <c r="C34" s="18"/>
      <c r="D34" s="18"/>
      <c r="E34" s="18"/>
      <c r="F34" s="18"/>
      <c r="G34" s="18"/>
      <c r="H34" s="18"/>
    </row>
    <row r="35" spans="2:8" x14ac:dyDescent="0.3">
      <c r="B35" s="18"/>
      <c r="C35" s="18"/>
      <c r="D35" s="18"/>
      <c r="E35" s="18"/>
      <c r="F35" s="18"/>
      <c r="G35" s="18"/>
      <c r="H35" s="18"/>
    </row>
  </sheetData>
  <autoFilter ref="A1:H18" xr:uid="{920D4C06-F0C0-4B81-AFEF-218B93F520B6}"/>
  <sortState xmlns:xlrd2="http://schemas.microsoft.com/office/spreadsheetml/2017/richdata2" ref="A2:H17">
    <sortCondition ref="A2:A17"/>
  </sortState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8A7A-BA80-4DF8-8009-05A2228435FE}">
  <sheetPr>
    <pageSetUpPr fitToPage="1"/>
  </sheetPr>
  <dimension ref="A1:I51"/>
  <sheetViews>
    <sheetView workbookViewId="0">
      <selection activeCell="F48" sqref="F48"/>
    </sheetView>
  </sheetViews>
  <sheetFormatPr defaultRowHeight="14.4" x14ac:dyDescent="0.3"/>
  <cols>
    <col min="1" max="1" width="14.77734375" customWidth="1"/>
    <col min="2" max="2" width="10.88671875" bestFit="1" customWidth="1"/>
    <col min="3" max="3" width="17" style="13" bestFit="1" customWidth="1"/>
    <col min="4" max="4" width="14.88671875" bestFit="1" customWidth="1"/>
    <col min="5" max="5" width="16.109375" bestFit="1" customWidth="1"/>
    <col min="6" max="6" width="9.88671875" bestFit="1" customWidth="1"/>
    <col min="7" max="7" width="16.88671875" style="161" bestFit="1" customWidth="1"/>
    <col min="8" max="8" width="13.44140625" customWidth="1"/>
  </cols>
  <sheetData>
    <row r="1" spans="1:9" x14ac:dyDescent="0.3">
      <c r="A1" s="1" t="s">
        <v>0</v>
      </c>
      <c r="B1" s="2" t="s">
        <v>1</v>
      </c>
      <c r="C1" s="2" t="s">
        <v>396</v>
      </c>
      <c r="D1" s="2" t="s">
        <v>397</v>
      </c>
      <c r="E1" s="3" t="s">
        <v>398</v>
      </c>
      <c r="F1" s="3" t="s">
        <v>2</v>
      </c>
      <c r="G1" s="2" t="s">
        <v>223</v>
      </c>
      <c r="H1" s="2" t="s">
        <v>4</v>
      </c>
    </row>
    <row r="2" spans="1:9" x14ac:dyDescent="0.3">
      <c r="A2" s="120" t="s">
        <v>394</v>
      </c>
      <c r="B2" s="118" t="s">
        <v>395</v>
      </c>
      <c r="C2" s="2" t="s">
        <v>160</v>
      </c>
      <c r="D2" s="129" t="s">
        <v>227</v>
      </c>
      <c r="E2" s="3" t="s">
        <v>379</v>
      </c>
      <c r="F2" s="7" t="s">
        <v>86</v>
      </c>
      <c r="G2" s="150" t="s">
        <v>158</v>
      </c>
      <c r="H2" s="118" t="s">
        <v>402</v>
      </c>
    </row>
    <row r="3" spans="1:9" x14ac:dyDescent="0.3">
      <c r="A3" s="110" t="s">
        <v>387</v>
      </c>
      <c r="B3" s="111" t="s">
        <v>388</v>
      </c>
      <c r="C3" s="2" t="s">
        <v>159</v>
      </c>
      <c r="D3" s="129" t="s">
        <v>227</v>
      </c>
      <c r="E3" s="3" t="s">
        <v>392</v>
      </c>
      <c r="F3" s="7" t="s">
        <v>217</v>
      </c>
      <c r="G3" s="150" t="s">
        <v>146</v>
      </c>
      <c r="H3" s="111"/>
    </row>
    <row r="4" spans="1:9" x14ac:dyDescent="0.3">
      <c r="A4" s="22">
        <v>1464</v>
      </c>
      <c r="B4" s="22" t="s">
        <v>239</v>
      </c>
      <c r="C4" s="27" t="s">
        <v>307</v>
      </c>
      <c r="D4" s="129" t="s">
        <v>227</v>
      </c>
      <c r="E4" s="27" t="s">
        <v>365</v>
      </c>
      <c r="F4" s="22" t="s">
        <v>303</v>
      </c>
      <c r="G4" s="22" t="s">
        <v>431</v>
      </c>
      <c r="H4" s="61"/>
    </row>
    <row r="5" spans="1:9" x14ac:dyDescent="0.3">
      <c r="A5" s="6" t="s">
        <v>255</v>
      </c>
      <c r="B5" s="4" t="s">
        <v>260</v>
      </c>
      <c r="C5" s="3" t="s">
        <v>159</v>
      </c>
      <c r="D5" s="129" t="s">
        <v>227</v>
      </c>
      <c r="E5" s="2" t="s">
        <v>306</v>
      </c>
      <c r="F5" s="71" t="s">
        <v>83</v>
      </c>
      <c r="G5" s="7" t="s">
        <v>158</v>
      </c>
      <c r="H5" s="4"/>
    </row>
    <row r="6" spans="1:9" x14ac:dyDescent="0.3">
      <c r="A6" s="6" t="s">
        <v>258</v>
      </c>
      <c r="B6" s="4" t="s">
        <v>264</v>
      </c>
      <c r="C6" s="3" t="s">
        <v>159</v>
      </c>
      <c r="D6" s="129" t="s">
        <v>227</v>
      </c>
      <c r="E6" s="3" t="s">
        <v>370</v>
      </c>
      <c r="F6" s="7" t="s">
        <v>303</v>
      </c>
      <c r="G6" s="7" t="s">
        <v>431</v>
      </c>
      <c r="H6" s="4"/>
    </row>
    <row r="7" spans="1:9" x14ac:dyDescent="0.3">
      <c r="A7" s="4">
        <v>1577</v>
      </c>
      <c r="B7" s="4" t="s">
        <v>200</v>
      </c>
      <c r="C7" s="27" t="s">
        <v>160</v>
      </c>
      <c r="D7" s="129" t="s">
        <v>227</v>
      </c>
      <c r="E7" s="27" t="s">
        <v>201</v>
      </c>
      <c r="F7" s="4" t="s">
        <v>83</v>
      </c>
      <c r="G7" s="22" t="s">
        <v>158</v>
      </c>
      <c r="H7" s="17"/>
    </row>
    <row r="8" spans="1:9" x14ac:dyDescent="0.3">
      <c r="A8" s="22">
        <v>1626</v>
      </c>
      <c r="B8" s="22" t="s">
        <v>183</v>
      </c>
      <c r="C8" s="27" t="s">
        <v>160</v>
      </c>
      <c r="D8" s="129" t="s">
        <v>227</v>
      </c>
      <c r="E8" s="27" t="s">
        <v>381</v>
      </c>
      <c r="F8" s="22" t="s">
        <v>82</v>
      </c>
      <c r="G8" s="22" t="s">
        <v>158</v>
      </c>
      <c r="H8" s="61"/>
    </row>
    <row r="9" spans="1:9" x14ac:dyDescent="0.3">
      <c r="A9" s="4">
        <v>1659</v>
      </c>
      <c r="B9" s="4" t="s">
        <v>25</v>
      </c>
      <c r="C9" s="27" t="s">
        <v>160</v>
      </c>
      <c r="D9" s="129" t="s">
        <v>227</v>
      </c>
      <c r="E9" s="27" t="s">
        <v>302</v>
      </c>
      <c r="F9" s="71" t="s">
        <v>83</v>
      </c>
      <c r="G9" s="22" t="s">
        <v>158</v>
      </c>
      <c r="H9" s="4" t="s">
        <v>9</v>
      </c>
    </row>
    <row r="10" spans="1:9" x14ac:dyDescent="0.3">
      <c r="A10" s="22">
        <v>1695</v>
      </c>
      <c r="B10" s="22" t="s">
        <v>405</v>
      </c>
      <c r="C10" s="27" t="s">
        <v>159</v>
      </c>
      <c r="D10" s="129" t="s">
        <v>227</v>
      </c>
      <c r="E10" s="27" t="s">
        <v>302</v>
      </c>
      <c r="F10" s="118" t="s">
        <v>83</v>
      </c>
      <c r="G10" s="22" t="s">
        <v>158</v>
      </c>
      <c r="H10" s="126" t="s">
        <v>411</v>
      </c>
      <c r="I10" s="99"/>
    </row>
    <row r="11" spans="1:9" x14ac:dyDescent="0.3">
      <c r="A11" s="133">
        <v>1697</v>
      </c>
      <c r="B11" s="133" t="s">
        <v>406</v>
      </c>
      <c r="C11" s="134" t="s">
        <v>160</v>
      </c>
      <c r="D11" s="135" t="s">
        <v>227</v>
      </c>
      <c r="E11" s="134" t="s">
        <v>302</v>
      </c>
      <c r="F11" s="136" t="s">
        <v>83</v>
      </c>
      <c r="G11" s="133" t="s">
        <v>430</v>
      </c>
      <c r="H11" s="126" t="s">
        <v>412</v>
      </c>
      <c r="I11" s="99"/>
    </row>
    <row r="12" spans="1:9" x14ac:dyDescent="0.3">
      <c r="A12" s="51">
        <v>1700</v>
      </c>
      <c r="B12" s="51" t="s">
        <v>275</v>
      </c>
      <c r="C12" s="29" t="s">
        <v>159</v>
      </c>
      <c r="D12" s="167" t="s">
        <v>227</v>
      </c>
      <c r="E12" s="29" t="s">
        <v>215</v>
      </c>
      <c r="F12" s="87" t="s">
        <v>217</v>
      </c>
      <c r="G12" s="51" t="s">
        <v>146</v>
      </c>
      <c r="H12" s="26"/>
      <c r="I12" s="99"/>
    </row>
    <row r="13" spans="1:9" x14ac:dyDescent="0.3">
      <c r="A13" s="51">
        <v>1710</v>
      </c>
      <c r="B13" s="51" t="s">
        <v>404</v>
      </c>
      <c r="C13" s="29" t="s">
        <v>160</v>
      </c>
      <c r="D13" s="167" t="s">
        <v>227</v>
      </c>
      <c r="E13" s="29" t="s">
        <v>302</v>
      </c>
      <c r="F13" s="121" t="s">
        <v>83</v>
      </c>
      <c r="G13" s="51" t="s">
        <v>146</v>
      </c>
      <c r="H13" s="168" t="s">
        <v>413</v>
      </c>
      <c r="I13" s="99"/>
    </row>
    <row r="14" spans="1:9" x14ac:dyDescent="0.3">
      <c r="A14" s="47" t="s">
        <v>209</v>
      </c>
      <c r="B14" s="26" t="s">
        <v>213</v>
      </c>
      <c r="C14" s="30" t="s">
        <v>163</v>
      </c>
      <c r="D14" s="167" t="s">
        <v>227</v>
      </c>
      <c r="E14" s="30" t="s">
        <v>302</v>
      </c>
      <c r="F14" s="169" t="s">
        <v>83</v>
      </c>
      <c r="G14" s="154" t="s">
        <v>146</v>
      </c>
      <c r="H14" s="26" t="s">
        <v>221</v>
      </c>
      <c r="I14" s="99"/>
    </row>
    <row r="15" spans="1:9" x14ac:dyDescent="0.3">
      <c r="A15" s="26">
        <v>1715</v>
      </c>
      <c r="B15" s="26" t="s">
        <v>134</v>
      </c>
      <c r="C15" s="29" t="s">
        <v>160</v>
      </c>
      <c r="D15" s="167" t="s">
        <v>227</v>
      </c>
      <c r="E15" s="29" t="s">
        <v>80</v>
      </c>
      <c r="F15" s="26" t="s">
        <v>86</v>
      </c>
      <c r="G15" s="51" t="s">
        <v>146</v>
      </c>
      <c r="H15" s="26" t="s">
        <v>135</v>
      </c>
      <c r="I15" s="99"/>
    </row>
    <row r="16" spans="1:9" x14ac:dyDescent="0.3">
      <c r="A16" s="170" t="s">
        <v>190</v>
      </c>
      <c r="B16" s="171" t="s">
        <v>191</v>
      </c>
      <c r="C16" s="30" t="s">
        <v>160</v>
      </c>
      <c r="D16" s="167" t="s">
        <v>227</v>
      </c>
      <c r="E16" s="30" t="s">
        <v>172</v>
      </c>
      <c r="F16" s="171" t="s">
        <v>86</v>
      </c>
      <c r="G16" s="154" t="s">
        <v>146</v>
      </c>
      <c r="H16" s="26"/>
      <c r="I16" s="99"/>
    </row>
    <row r="17" spans="1:9" x14ac:dyDescent="0.3">
      <c r="A17" s="22">
        <v>2002</v>
      </c>
      <c r="B17" s="22" t="s">
        <v>207</v>
      </c>
      <c r="C17" s="27" t="s">
        <v>160</v>
      </c>
      <c r="D17" s="129" t="s">
        <v>227</v>
      </c>
      <c r="E17" s="27" t="s">
        <v>345</v>
      </c>
      <c r="F17" s="22" t="s">
        <v>303</v>
      </c>
      <c r="G17" s="22" t="s">
        <v>158</v>
      </c>
      <c r="H17" s="61"/>
      <c r="I17" s="99"/>
    </row>
    <row r="18" spans="1:9" x14ac:dyDescent="0.3">
      <c r="A18" s="4">
        <v>2018</v>
      </c>
      <c r="B18" s="4" t="s">
        <v>301</v>
      </c>
      <c r="C18" s="27" t="s">
        <v>159</v>
      </c>
      <c r="D18" s="129" t="s">
        <v>227</v>
      </c>
      <c r="E18" s="27" t="s">
        <v>379</v>
      </c>
      <c r="F18" s="64" t="s">
        <v>86</v>
      </c>
      <c r="G18" s="51" t="s">
        <v>247</v>
      </c>
      <c r="H18" s="4"/>
      <c r="I18" s="99"/>
    </row>
    <row r="19" spans="1:9" x14ac:dyDescent="0.3">
      <c r="A19" s="2" t="s">
        <v>81</v>
      </c>
      <c r="B19" s="2">
        <v>16</v>
      </c>
      <c r="C19" s="2"/>
      <c r="D19" s="4"/>
      <c r="E19" s="27"/>
      <c r="F19" s="4"/>
      <c r="G19" s="150"/>
      <c r="H19" s="17"/>
    </row>
    <row r="20" spans="1:9" x14ac:dyDescent="0.3">
      <c r="A20" s="103"/>
      <c r="B20" s="103"/>
      <c r="C20" s="119"/>
      <c r="D20" s="104"/>
      <c r="E20" s="14"/>
      <c r="F20" s="23"/>
      <c r="G20" s="158"/>
    </row>
    <row r="21" spans="1:9" x14ac:dyDescent="0.3">
      <c r="A21" s="2" t="s">
        <v>72</v>
      </c>
      <c r="B21" s="2"/>
      <c r="C21" s="2"/>
      <c r="D21" s="105"/>
      <c r="E21" s="2"/>
      <c r="F21" s="2"/>
      <c r="G21" s="150"/>
      <c r="H21" s="106"/>
    </row>
    <row r="22" spans="1:9" x14ac:dyDescent="0.3">
      <c r="A22" s="162">
        <v>532</v>
      </c>
      <c r="B22" s="157" t="s">
        <v>385</v>
      </c>
      <c r="C22" s="163" t="s">
        <v>160</v>
      </c>
      <c r="D22" s="164" t="s">
        <v>227</v>
      </c>
      <c r="E22" s="163" t="s">
        <v>65</v>
      </c>
      <c r="F22" s="165" t="s">
        <v>148</v>
      </c>
      <c r="G22" s="156" t="s">
        <v>158</v>
      </c>
      <c r="H22" s="166" t="s">
        <v>414</v>
      </c>
    </row>
    <row r="23" spans="1:9" x14ac:dyDescent="0.3">
      <c r="A23" s="162">
        <v>543</v>
      </c>
      <c r="B23" s="157" t="s">
        <v>386</v>
      </c>
      <c r="C23" s="163" t="s">
        <v>160</v>
      </c>
      <c r="D23" s="164" t="s">
        <v>227</v>
      </c>
      <c r="E23" s="163" t="s">
        <v>65</v>
      </c>
      <c r="F23" s="165" t="s">
        <v>148</v>
      </c>
      <c r="G23" s="156" t="s">
        <v>158</v>
      </c>
      <c r="H23" s="166" t="s">
        <v>414</v>
      </c>
    </row>
    <row r="24" spans="1:9" x14ac:dyDescent="0.3">
      <c r="A24" s="100">
        <v>1395</v>
      </c>
      <c r="B24" s="100" t="s">
        <v>56</v>
      </c>
      <c r="C24" s="2" t="s">
        <v>160</v>
      </c>
      <c r="D24" s="130" t="s">
        <v>227</v>
      </c>
      <c r="E24" s="2" t="s">
        <v>384</v>
      </c>
      <c r="F24" s="127" t="s">
        <v>84</v>
      </c>
      <c r="G24" s="150" t="s">
        <v>158</v>
      </c>
      <c r="H24" s="106"/>
    </row>
    <row r="25" spans="1:9" x14ac:dyDescent="0.3">
      <c r="A25" s="172">
        <v>1453</v>
      </c>
      <c r="B25" s="172" t="s">
        <v>111</v>
      </c>
      <c r="C25" s="30" t="s">
        <v>160</v>
      </c>
      <c r="D25" s="173" t="s">
        <v>227</v>
      </c>
      <c r="E25" s="30" t="s">
        <v>384</v>
      </c>
      <c r="F25" s="174" t="s">
        <v>84</v>
      </c>
      <c r="G25" s="175" t="s">
        <v>146</v>
      </c>
      <c r="H25" s="56"/>
    </row>
    <row r="26" spans="1:9" x14ac:dyDescent="0.3">
      <c r="A26" s="172">
        <v>1547</v>
      </c>
      <c r="B26" s="121" t="s">
        <v>403</v>
      </c>
      <c r="C26" s="30" t="s">
        <v>160</v>
      </c>
      <c r="D26" s="173" t="s">
        <v>227</v>
      </c>
      <c r="E26" s="30" t="s">
        <v>384</v>
      </c>
      <c r="F26" s="174" t="s">
        <v>84</v>
      </c>
      <c r="G26" s="175" t="s">
        <v>146</v>
      </c>
      <c r="H26" s="56"/>
    </row>
    <row r="27" spans="1:9" x14ac:dyDescent="0.3">
      <c r="A27" s="26">
        <v>1554</v>
      </c>
      <c r="B27" s="26" t="s">
        <v>113</v>
      </c>
      <c r="C27" s="30" t="s">
        <v>160</v>
      </c>
      <c r="D27" s="173" t="s">
        <v>227</v>
      </c>
      <c r="E27" s="30" t="s">
        <v>384</v>
      </c>
      <c r="F27" s="174" t="s">
        <v>84</v>
      </c>
      <c r="G27" s="175" t="s">
        <v>146</v>
      </c>
      <c r="H27" s="56"/>
    </row>
    <row r="28" spans="1:9" x14ac:dyDescent="0.3">
      <c r="A28" s="4">
        <v>1556</v>
      </c>
      <c r="B28" s="4" t="s">
        <v>115</v>
      </c>
      <c r="C28" s="2" t="s">
        <v>160</v>
      </c>
      <c r="D28" s="130" t="s">
        <v>227</v>
      </c>
      <c r="E28" s="2" t="s">
        <v>383</v>
      </c>
      <c r="F28" s="127" t="s">
        <v>303</v>
      </c>
      <c r="G28" s="150" t="s">
        <v>158</v>
      </c>
      <c r="H28" s="106"/>
    </row>
    <row r="29" spans="1:9" x14ac:dyDescent="0.3">
      <c r="A29" s="4">
        <v>1592</v>
      </c>
      <c r="B29" s="4" t="s">
        <v>116</v>
      </c>
      <c r="C29" s="2" t="s">
        <v>160</v>
      </c>
      <c r="D29" s="130" t="s">
        <v>227</v>
      </c>
      <c r="E29" s="2" t="s">
        <v>384</v>
      </c>
      <c r="F29" s="127" t="s">
        <v>84</v>
      </c>
      <c r="G29" s="150" t="s">
        <v>158</v>
      </c>
      <c r="H29" s="106"/>
    </row>
    <row r="30" spans="1:9" x14ac:dyDescent="0.3">
      <c r="A30" s="109" t="s">
        <v>81</v>
      </c>
      <c r="B30" s="109">
        <v>8</v>
      </c>
      <c r="C30" s="23"/>
      <c r="D30" s="108"/>
      <c r="E30" s="14"/>
      <c r="F30" s="23"/>
      <c r="G30" s="158"/>
    </row>
    <row r="31" spans="1:9" x14ac:dyDescent="0.3">
      <c r="A31" s="2"/>
      <c r="B31" s="2" t="s">
        <v>310</v>
      </c>
      <c r="C31" s="2" t="s">
        <v>309</v>
      </c>
      <c r="D31" s="19" t="s">
        <v>145</v>
      </c>
      <c r="E31" s="18"/>
      <c r="F31" s="14"/>
      <c r="G31" s="159"/>
      <c r="H31" s="14"/>
    </row>
    <row r="32" spans="1:9" x14ac:dyDescent="0.3">
      <c r="A32" s="2" t="s">
        <v>198</v>
      </c>
      <c r="B32" s="2">
        <v>16</v>
      </c>
      <c r="C32" s="11">
        <v>5</v>
      </c>
      <c r="D32" s="54">
        <f>C32/B32</f>
        <v>0.3125</v>
      </c>
      <c r="E32" s="14"/>
      <c r="F32" s="23"/>
      <c r="G32" s="158"/>
    </row>
    <row r="33" spans="1:8" x14ac:dyDescent="0.3">
      <c r="A33" s="2" t="s">
        <v>72</v>
      </c>
      <c r="B33" s="2">
        <v>8</v>
      </c>
      <c r="C33" s="11">
        <v>3</v>
      </c>
      <c r="D33" s="54">
        <f>C33/B33</f>
        <v>0.375</v>
      </c>
      <c r="E33" s="14"/>
      <c r="F33" s="23"/>
      <c r="G33" s="158"/>
    </row>
    <row r="34" spans="1:8" x14ac:dyDescent="0.3">
      <c r="A34" s="18"/>
      <c r="B34" s="18"/>
      <c r="C34" s="60"/>
      <c r="D34" s="18"/>
      <c r="E34" s="14"/>
      <c r="F34" s="23"/>
      <c r="G34" s="158"/>
    </row>
    <row r="35" spans="1:8" x14ac:dyDescent="0.3">
      <c r="A35" s="2" t="s">
        <v>88</v>
      </c>
      <c r="B35" s="2" t="s">
        <v>234</v>
      </c>
      <c r="C35" s="2" t="s">
        <v>146</v>
      </c>
      <c r="D35" s="2" t="s">
        <v>145</v>
      </c>
      <c r="E35" s="14"/>
      <c r="F35" s="23"/>
      <c r="G35" s="158"/>
    </row>
    <row r="36" spans="1:8" x14ac:dyDescent="0.3">
      <c r="A36" s="114" t="s">
        <v>172</v>
      </c>
      <c r="B36" s="100">
        <v>1</v>
      </c>
      <c r="C36" s="2">
        <v>1</v>
      </c>
      <c r="D36" s="101">
        <f t="shared" ref="D36:D50" si="0">C36/B36</f>
        <v>1</v>
      </c>
      <c r="E36" s="14"/>
      <c r="F36" s="23"/>
      <c r="G36" s="158"/>
    </row>
    <row r="37" spans="1:8" x14ac:dyDescent="0.3">
      <c r="A37" s="2" t="s">
        <v>382</v>
      </c>
      <c r="B37" s="100">
        <v>1</v>
      </c>
      <c r="C37" s="2">
        <v>0</v>
      </c>
      <c r="D37" s="101">
        <f t="shared" si="0"/>
        <v>0</v>
      </c>
      <c r="E37" s="14"/>
      <c r="F37" s="107"/>
      <c r="G37" s="158"/>
    </row>
    <row r="38" spans="1:8" x14ac:dyDescent="0.3">
      <c r="A38" s="129" t="s">
        <v>407</v>
      </c>
      <c r="B38" s="100">
        <v>1</v>
      </c>
      <c r="C38" s="2">
        <v>0</v>
      </c>
      <c r="D38" s="101">
        <f t="shared" si="0"/>
        <v>0</v>
      </c>
      <c r="E38" s="14"/>
      <c r="F38" s="107"/>
      <c r="G38" s="158"/>
    </row>
    <row r="39" spans="1:8" x14ac:dyDescent="0.3">
      <c r="A39" s="100" t="s">
        <v>381</v>
      </c>
      <c r="B39" s="100">
        <v>1</v>
      </c>
      <c r="C39" s="2">
        <v>0</v>
      </c>
      <c r="D39" s="101">
        <f t="shared" si="0"/>
        <v>0</v>
      </c>
      <c r="E39" s="14"/>
      <c r="F39" s="23"/>
      <c r="G39" s="158"/>
    </row>
    <row r="40" spans="1:8" x14ac:dyDescent="0.3">
      <c r="A40" s="129" t="s">
        <v>392</v>
      </c>
      <c r="B40" s="100">
        <v>1</v>
      </c>
      <c r="C40" s="2">
        <v>0</v>
      </c>
      <c r="D40" s="101">
        <f t="shared" si="0"/>
        <v>0</v>
      </c>
      <c r="E40" s="14"/>
      <c r="F40" s="23"/>
      <c r="G40" s="158"/>
    </row>
    <row r="41" spans="1:8" x14ac:dyDescent="0.3">
      <c r="A41" s="118" t="s">
        <v>371</v>
      </c>
      <c r="B41" s="100">
        <v>1</v>
      </c>
      <c r="C41" s="2">
        <v>0</v>
      </c>
      <c r="D41" s="101">
        <f t="shared" si="0"/>
        <v>0</v>
      </c>
      <c r="E41" s="14"/>
      <c r="F41" s="23"/>
      <c r="G41" s="158"/>
    </row>
    <row r="42" spans="1:8" x14ac:dyDescent="0.3">
      <c r="A42" s="2" t="s">
        <v>67</v>
      </c>
      <c r="B42" s="100">
        <v>5</v>
      </c>
      <c r="C42" s="2">
        <v>3</v>
      </c>
      <c r="D42" s="101">
        <f t="shared" si="0"/>
        <v>0.6</v>
      </c>
      <c r="E42" s="14"/>
      <c r="F42" s="23"/>
      <c r="G42" s="158"/>
    </row>
    <row r="43" spans="1:8" x14ac:dyDescent="0.3">
      <c r="A43" s="118" t="s">
        <v>408</v>
      </c>
      <c r="B43" s="100">
        <v>1</v>
      </c>
      <c r="C43" s="2">
        <v>1</v>
      </c>
      <c r="D43" s="101">
        <f t="shared" si="0"/>
        <v>1</v>
      </c>
      <c r="E43" s="14"/>
      <c r="F43" s="23"/>
      <c r="G43" s="158"/>
    </row>
    <row r="44" spans="1:8" x14ac:dyDescent="0.3">
      <c r="A44" s="118" t="s">
        <v>306</v>
      </c>
      <c r="B44" s="100">
        <v>1</v>
      </c>
      <c r="C44" s="2">
        <v>0</v>
      </c>
      <c r="D44" s="101">
        <f t="shared" si="0"/>
        <v>0</v>
      </c>
      <c r="E44" s="14"/>
      <c r="F44" s="23"/>
      <c r="G44" s="158"/>
    </row>
    <row r="45" spans="1:8" x14ac:dyDescent="0.3">
      <c r="A45" s="100" t="s">
        <v>379</v>
      </c>
      <c r="B45" s="100">
        <v>2</v>
      </c>
      <c r="C45" s="2">
        <v>0</v>
      </c>
      <c r="D45" s="101">
        <f t="shared" si="0"/>
        <v>0</v>
      </c>
      <c r="E45" s="14"/>
      <c r="F45" s="23"/>
      <c r="G45" s="158"/>
    </row>
    <row r="46" spans="1:8" x14ac:dyDescent="0.3">
      <c r="A46" s="100" t="s">
        <v>201</v>
      </c>
      <c r="B46" s="100">
        <v>1</v>
      </c>
      <c r="C46" s="2">
        <v>0</v>
      </c>
      <c r="D46" s="101">
        <f t="shared" si="0"/>
        <v>0</v>
      </c>
      <c r="E46" s="60"/>
      <c r="F46" s="23"/>
      <c r="G46" s="158"/>
    </row>
    <row r="47" spans="1:8" x14ac:dyDescent="0.3">
      <c r="A47" s="2" t="s">
        <v>65</v>
      </c>
      <c r="B47" s="100">
        <v>2</v>
      </c>
      <c r="C47" s="2">
        <v>0</v>
      </c>
      <c r="D47" s="101">
        <f t="shared" si="0"/>
        <v>0</v>
      </c>
      <c r="E47" s="18"/>
      <c r="F47" s="18"/>
      <c r="G47" s="160"/>
      <c r="H47" s="18"/>
    </row>
    <row r="48" spans="1:8" x14ac:dyDescent="0.3">
      <c r="A48" s="100" t="s">
        <v>365</v>
      </c>
      <c r="B48" s="100">
        <v>1</v>
      </c>
      <c r="C48" s="2">
        <v>0</v>
      </c>
      <c r="D48" s="101">
        <f t="shared" si="0"/>
        <v>0</v>
      </c>
      <c r="E48" s="18"/>
      <c r="F48" s="18"/>
      <c r="G48" s="160"/>
      <c r="H48" s="18"/>
    </row>
    <row r="49" spans="1:4" x14ac:dyDescent="0.3">
      <c r="A49" s="100" t="s">
        <v>215</v>
      </c>
      <c r="B49" s="100">
        <v>1</v>
      </c>
      <c r="C49" s="2">
        <v>1</v>
      </c>
      <c r="D49" s="101">
        <f t="shared" si="0"/>
        <v>1</v>
      </c>
    </row>
    <row r="50" spans="1:4" x14ac:dyDescent="0.3">
      <c r="A50" s="100" t="s">
        <v>232</v>
      </c>
      <c r="B50" s="100">
        <v>5</v>
      </c>
      <c r="C50" s="2">
        <v>2</v>
      </c>
      <c r="D50" s="101">
        <f t="shared" si="0"/>
        <v>0.4</v>
      </c>
    </row>
    <row r="51" spans="1:4" x14ac:dyDescent="0.3">
      <c r="A51" s="2" t="s">
        <v>81</v>
      </c>
      <c r="B51" s="2">
        <f>SUM(B37:B50)</f>
        <v>24</v>
      </c>
      <c r="C51" s="2">
        <f>SUM(C36:C50)</f>
        <v>8</v>
      </c>
      <c r="D51" s="102">
        <f t="shared" ref="D51" si="1">C51/B51</f>
        <v>0.33333333333333331</v>
      </c>
    </row>
  </sheetData>
  <autoFilter ref="A1:H19" xr:uid="{000E8A7A-BA80-4DF8-8009-05A2228435FE}"/>
  <sortState xmlns:xlrd2="http://schemas.microsoft.com/office/spreadsheetml/2017/richdata2" ref="A36:D50">
    <sortCondition ref="A36:A50"/>
  </sortState>
  <pageMargins left="0.511811024" right="0.511811024" top="0.78740157499999996" bottom="0.78740157499999996" header="0.31496062000000002" footer="0.31496062000000002"/>
  <pageSetup paperSize="9" scale="6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DA7F-FF9F-4C67-969E-F32EF919A155}">
  <sheetPr>
    <pageSetUpPr fitToPage="1"/>
  </sheetPr>
  <dimension ref="A1:H32"/>
  <sheetViews>
    <sheetView topLeftCell="A12" workbookViewId="0">
      <selection activeCell="G33" sqref="G33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20.109375" customWidth="1"/>
    <col min="4" max="4" width="24.5546875" bestFit="1" customWidth="1"/>
    <col min="5" max="5" width="14.6640625" bestFit="1" customWidth="1"/>
    <col min="6" max="6" width="13.6640625" style="45" bestFit="1" customWidth="1"/>
    <col min="7" max="7" width="19.44140625" bestFit="1" customWidth="1"/>
    <col min="8" max="8" width="16.44140625" style="55" bestFit="1" customWidth="1"/>
  </cols>
  <sheetData>
    <row r="1" spans="1:8" s="21" customFormat="1" ht="13.8" x14ac:dyDescent="0.25">
      <c r="A1" s="34" t="s">
        <v>0</v>
      </c>
      <c r="B1" s="34" t="s">
        <v>323</v>
      </c>
      <c r="C1" s="35" t="s">
        <v>324</v>
      </c>
      <c r="D1" s="10" t="s">
        <v>344</v>
      </c>
      <c r="E1" s="10" t="s">
        <v>374</v>
      </c>
      <c r="F1" s="36" t="s">
        <v>96</v>
      </c>
      <c r="G1" s="10" t="s">
        <v>373</v>
      </c>
      <c r="H1" s="35" t="s">
        <v>4</v>
      </c>
    </row>
    <row r="2" spans="1:8" s="45" customFormat="1" ht="13.8" x14ac:dyDescent="0.25">
      <c r="A2" s="6" t="s">
        <v>104</v>
      </c>
      <c r="B2" s="66" t="s">
        <v>167</v>
      </c>
      <c r="C2" s="89" t="s">
        <v>227</v>
      </c>
      <c r="D2" s="79" t="s">
        <v>141</v>
      </c>
      <c r="E2" s="96" t="s">
        <v>158</v>
      </c>
      <c r="F2" s="4" t="s">
        <v>108</v>
      </c>
      <c r="G2" s="4"/>
      <c r="H2" s="44"/>
    </row>
    <row r="3" spans="1:8" s="45" customFormat="1" ht="13.8" x14ac:dyDescent="0.25">
      <c r="A3" s="6" t="s">
        <v>105</v>
      </c>
      <c r="B3" s="66" t="s">
        <v>193</v>
      </c>
      <c r="C3" s="89" t="s">
        <v>227</v>
      </c>
      <c r="D3" s="79" t="s">
        <v>139</v>
      </c>
      <c r="E3" s="96" t="s">
        <v>158</v>
      </c>
      <c r="F3" s="46"/>
      <c r="G3" s="83" t="s">
        <v>353</v>
      </c>
      <c r="H3" s="44"/>
    </row>
    <row r="4" spans="1:8" s="45" customFormat="1" ht="13.8" x14ac:dyDescent="0.25">
      <c r="A4" s="39">
        <v>174</v>
      </c>
      <c r="B4" s="64" t="s">
        <v>167</v>
      </c>
      <c r="C4" s="89" t="s">
        <v>227</v>
      </c>
      <c r="D4" s="79" t="s">
        <v>142</v>
      </c>
      <c r="E4" s="96" t="s">
        <v>158</v>
      </c>
      <c r="F4" s="43" t="s">
        <v>287</v>
      </c>
      <c r="G4" s="4"/>
      <c r="H4" s="44"/>
    </row>
    <row r="5" spans="1:8" s="45" customFormat="1" ht="13.8" x14ac:dyDescent="0.25">
      <c r="A5" s="4">
        <v>191</v>
      </c>
      <c r="B5" s="64" t="s">
        <v>193</v>
      </c>
      <c r="C5" s="89" t="s">
        <v>227</v>
      </c>
      <c r="D5" s="79" t="s">
        <v>354</v>
      </c>
      <c r="E5" s="96" t="s">
        <v>158</v>
      </c>
      <c r="F5" s="67" t="s">
        <v>325</v>
      </c>
      <c r="G5" s="84" t="s">
        <v>355</v>
      </c>
      <c r="H5" s="68" t="s">
        <v>326</v>
      </c>
    </row>
    <row r="6" spans="1:8" s="45" customFormat="1" ht="13.8" x14ac:dyDescent="0.25">
      <c r="A6" s="39" t="s">
        <v>280</v>
      </c>
      <c r="B6" s="64" t="s">
        <v>193</v>
      </c>
      <c r="C6" s="89" t="s">
        <v>227</v>
      </c>
      <c r="D6" s="79" t="s">
        <v>354</v>
      </c>
      <c r="E6" s="96" t="s">
        <v>158</v>
      </c>
      <c r="F6" s="43" t="s">
        <v>288</v>
      </c>
      <c r="G6" s="4"/>
      <c r="H6" s="68" t="s">
        <v>327</v>
      </c>
    </row>
    <row r="7" spans="1:8" s="45" customFormat="1" ht="13.8" x14ac:dyDescent="0.25">
      <c r="A7" s="39" t="s">
        <v>281</v>
      </c>
      <c r="B7" s="64" t="s">
        <v>193</v>
      </c>
      <c r="C7" s="89" t="s">
        <v>227</v>
      </c>
      <c r="D7" s="79" t="s">
        <v>139</v>
      </c>
      <c r="E7" s="96" t="s">
        <v>158</v>
      </c>
      <c r="F7" s="43" t="s">
        <v>289</v>
      </c>
      <c r="G7" s="4"/>
      <c r="H7" s="68" t="s">
        <v>328</v>
      </c>
    </row>
    <row r="8" spans="1:8" s="45" customFormat="1" ht="13.8" x14ac:dyDescent="0.25">
      <c r="A8" s="4">
        <v>225</v>
      </c>
      <c r="B8" s="64" t="s">
        <v>193</v>
      </c>
      <c r="C8" s="89" t="s">
        <v>227</v>
      </c>
      <c r="D8" s="79" t="s">
        <v>356</v>
      </c>
      <c r="E8" s="96" t="s">
        <v>158</v>
      </c>
      <c r="F8" s="46"/>
      <c r="G8" s="4"/>
      <c r="H8" s="68" t="s">
        <v>341</v>
      </c>
    </row>
    <row r="9" spans="1:8" s="45" customFormat="1" ht="13.8" x14ac:dyDescent="0.25">
      <c r="A9" s="39" t="s">
        <v>282</v>
      </c>
      <c r="B9" s="64" t="s">
        <v>167</v>
      </c>
      <c r="C9" s="89" t="s">
        <v>227</v>
      </c>
      <c r="D9" s="79" t="s">
        <v>356</v>
      </c>
      <c r="E9" s="96" t="s">
        <v>158</v>
      </c>
      <c r="F9" s="43" t="s">
        <v>290</v>
      </c>
      <c r="G9" s="4"/>
      <c r="H9" s="68" t="s">
        <v>329</v>
      </c>
    </row>
    <row r="10" spans="1:8" s="45" customFormat="1" ht="13.8" x14ac:dyDescent="0.25">
      <c r="A10" s="39">
        <v>300</v>
      </c>
      <c r="B10" s="64" t="s">
        <v>167</v>
      </c>
      <c r="C10" s="89" t="s">
        <v>227</v>
      </c>
      <c r="D10" s="79" t="s">
        <v>312</v>
      </c>
      <c r="E10" s="96"/>
      <c r="F10" s="22" t="s">
        <v>291</v>
      </c>
      <c r="G10" s="83" t="s">
        <v>355</v>
      </c>
      <c r="H10" s="68" t="s">
        <v>330</v>
      </c>
    </row>
    <row r="11" spans="1:8" s="45" customFormat="1" ht="13.8" x14ac:dyDescent="0.25">
      <c r="A11" s="39" t="s">
        <v>283</v>
      </c>
      <c r="B11" s="64" t="s">
        <v>167</v>
      </c>
      <c r="C11" s="89" t="s">
        <v>227</v>
      </c>
      <c r="D11" s="79" t="s">
        <v>357</v>
      </c>
      <c r="E11" s="96" t="s">
        <v>158</v>
      </c>
      <c r="F11" s="22" t="s">
        <v>292</v>
      </c>
      <c r="G11" s="4"/>
      <c r="H11" s="68" t="s">
        <v>331</v>
      </c>
    </row>
    <row r="12" spans="1:8" s="45" customFormat="1" ht="13.8" x14ac:dyDescent="0.25">
      <c r="A12" s="6" t="s">
        <v>90</v>
      </c>
      <c r="B12" s="66" t="s">
        <v>193</v>
      </c>
      <c r="C12" s="89" t="s">
        <v>227</v>
      </c>
      <c r="D12" s="79" t="s">
        <v>312</v>
      </c>
      <c r="E12" s="96"/>
      <c r="F12" s="46" t="s">
        <v>100</v>
      </c>
      <c r="G12" s="4"/>
      <c r="H12" s="44"/>
    </row>
    <row r="13" spans="1:8" s="18" customFormat="1" x14ac:dyDescent="0.3">
      <c r="A13" s="39">
        <v>438</v>
      </c>
      <c r="B13" s="39" t="s">
        <v>193</v>
      </c>
      <c r="C13" s="89" t="s">
        <v>227</v>
      </c>
      <c r="D13" s="79" t="s">
        <v>141</v>
      </c>
      <c r="E13" s="96" t="s">
        <v>158</v>
      </c>
      <c r="F13" s="43" t="s">
        <v>224</v>
      </c>
      <c r="G13" s="84" t="s">
        <v>353</v>
      </c>
      <c r="H13" s="68" t="s">
        <v>332</v>
      </c>
    </row>
    <row r="14" spans="1:8" s="18" customFormat="1" x14ac:dyDescent="0.3">
      <c r="A14" s="6">
        <v>451</v>
      </c>
      <c r="B14" s="64" t="s">
        <v>312</v>
      </c>
      <c r="C14" s="72" t="s">
        <v>276</v>
      </c>
      <c r="D14" s="79" t="s">
        <v>312</v>
      </c>
      <c r="E14" s="96"/>
      <c r="F14" s="4" t="s">
        <v>293</v>
      </c>
      <c r="G14" s="4"/>
      <c r="H14" s="68" t="s">
        <v>333</v>
      </c>
    </row>
    <row r="15" spans="1:8" s="18" customFormat="1" x14ac:dyDescent="0.3">
      <c r="A15" s="6" t="s">
        <v>284</v>
      </c>
      <c r="B15" s="64" t="s">
        <v>193</v>
      </c>
      <c r="C15" s="72" t="s">
        <v>227</v>
      </c>
      <c r="D15" s="79" t="s">
        <v>312</v>
      </c>
      <c r="E15" s="96"/>
      <c r="F15" s="4" t="s">
        <v>294</v>
      </c>
      <c r="G15" s="83" t="s">
        <v>355</v>
      </c>
      <c r="H15" s="68" t="s">
        <v>334</v>
      </c>
    </row>
    <row r="16" spans="1:8" s="18" customFormat="1" x14ac:dyDescent="0.3">
      <c r="A16" s="95" t="s">
        <v>347</v>
      </c>
      <c r="B16" s="72" t="s">
        <v>193</v>
      </c>
      <c r="C16" s="72" t="s">
        <v>227</v>
      </c>
      <c r="D16" s="79" t="s">
        <v>354</v>
      </c>
      <c r="E16" s="96" t="s">
        <v>158</v>
      </c>
      <c r="F16" s="46" t="s">
        <v>348</v>
      </c>
      <c r="G16" s="83" t="s">
        <v>358</v>
      </c>
      <c r="H16" s="68"/>
    </row>
    <row r="17" spans="1:8" s="18" customFormat="1" x14ac:dyDescent="0.3">
      <c r="A17" s="6">
        <v>622</v>
      </c>
      <c r="B17" s="66" t="s">
        <v>193</v>
      </c>
      <c r="C17" s="72" t="s">
        <v>227</v>
      </c>
      <c r="D17" s="79" t="s">
        <v>356</v>
      </c>
      <c r="E17" s="96" t="s">
        <v>158</v>
      </c>
      <c r="F17" s="46" t="s">
        <v>225</v>
      </c>
      <c r="G17" s="44"/>
      <c r="H17" s="68" t="s">
        <v>335</v>
      </c>
    </row>
    <row r="18" spans="1:8" x14ac:dyDescent="0.3">
      <c r="A18" s="4">
        <v>734</v>
      </c>
      <c r="B18" s="64" t="s">
        <v>193</v>
      </c>
      <c r="C18" s="72" t="s">
        <v>227</v>
      </c>
      <c r="D18" s="79" t="s">
        <v>354</v>
      </c>
      <c r="E18" s="96" t="s">
        <v>158</v>
      </c>
      <c r="F18" s="22" t="s">
        <v>298</v>
      </c>
      <c r="G18" s="83" t="s">
        <v>358</v>
      </c>
      <c r="H18" s="44"/>
    </row>
    <row r="19" spans="1:8" x14ac:dyDescent="0.3">
      <c r="A19" s="47" t="s">
        <v>285</v>
      </c>
      <c r="B19" s="87" t="s">
        <v>193</v>
      </c>
      <c r="C19" s="94" t="s">
        <v>227</v>
      </c>
      <c r="D19" s="90" t="s">
        <v>354</v>
      </c>
      <c r="E19" s="121" t="s">
        <v>399</v>
      </c>
      <c r="F19" s="91" t="s">
        <v>295</v>
      </c>
      <c r="G19" s="26"/>
      <c r="H19" s="93" t="s">
        <v>336</v>
      </c>
    </row>
    <row r="20" spans="1:8" x14ac:dyDescent="0.3">
      <c r="A20" s="4">
        <v>766</v>
      </c>
      <c r="B20" s="64" t="s">
        <v>165</v>
      </c>
      <c r="C20" s="72" t="s">
        <v>227</v>
      </c>
      <c r="D20" s="79" t="s">
        <v>142</v>
      </c>
      <c r="E20" s="96" t="s">
        <v>158</v>
      </c>
      <c r="F20" s="22" t="s">
        <v>101</v>
      </c>
      <c r="G20" s="4"/>
      <c r="H20" s="44"/>
    </row>
    <row r="21" spans="1:8" x14ac:dyDescent="0.3">
      <c r="A21" s="40" t="s">
        <v>286</v>
      </c>
      <c r="B21" s="87" t="s">
        <v>193</v>
      </c>
      <c r="C21" s="94" t="s">
        <v>227</v>
      </c>
      <c r="D21" s="90" t="s">
        <v>141</v>
      </c>
      <c r="E21" s="121" t="s">
        <v>399</v>
      </c>
      <c r="F21" s="51" t="s">
        <v>296</v>
      </c>
      <c r="G21" s="26"/>
      <c r="H21" s="92" t="s">
        <v>337</v>
      </c>
    </row>
    <row r="22" spans="1:8" s="18" customFormat="1" x14ac:dyDescent="0.3">
      <c r="A22" s="4">
        <v>1007</v>
      </c>
      <c r="B22" s="64" t="s">
        <v>193</v>
      </c>
      <c r="C22" s="72" t="s">
        <v>227</v>
      </c>
      <c r="D22" s="79" t="s">
        <v>357</v>
      </c>
      <c r="E22" s="96" t="s">
        <v>158</v>
      </c>
      <c r="F22" s="22" t="s">
        <v>299</v>
      </c>
      <c r="G22" s="4"/>
      <c r="H22" s="44"/>
    </row>
    <row r="23" spans="1:8" s="18" customFormat="1" x14ac:dyDescent="0.3">
      <c r="A23" s="4">
        <v>1123</v>
      </c>
      <c r="B23" s="64" t="s">
        <v>193</v>
      </c>
      <c r="C23" s="72" t="s">
        <v>227</v>
      </c>
      <c r="D23" s="79" t="s">
        <v>140</v>
      </c>
      <c r="E23" s="96" t="s">
        <v>158</v>
      </c>
      <c r="F23" s="43" t="s">
        <v>102</v>
      </c>
      <c r="G23" s="4"/>
      <c r="H23" s="44"/>
    </row>
    <row r="24" spans="1:8" s="18" customFormat="1" x14ac:dyDescent="0.3">
      <c r="A24" s="4">
        <v>1129</v>
      </c>
      <c r="B24" s="64" t="s">
        <v>312</v>
      </c>
      <c r="C24" s="72" t="s">
        <v>276</v>
      </c>
      <c r="D24" s="79" t="s">
        <v>359</v>
      </c>
      <c r="E24" s="96" t="s">
        <v>158</v>
      </c>
      <c r="F24" s="22" t="s">
        <v>300</v>
      </c>
      <c r="G24" s="83" t="s">
        <v>353</v>
      </c>
      <c r="H24" s="44"/>
    </row>
    <row r="25" spans="1:8" x14ac:dyDescent="0.3">
      <c r="A25" s="26">
        <v>1151</v>
      </c>
      <c r="B25" s="87" t="s">
        <v>167</v>
      </c>
      <c r="C25" s="94" t="s">
        <v>227</v>
      </c>
      <c r="D25" s="90" t="s">
        <v>359</v>
      </c>
      <c r="E25" s="121" t="s">
        <v>399</v>
      </c>
      <c r="F25" s="26" t="s">
        <v>350</v>
      </c>
      <c r="G25" s="26"/>
      <c r="H25" s="92" t="s">
        <v>338</v>
      </c>
    </row>
    <row r="26" spans="1:8" x14ac:dyDescent="0.3">
      <c r="A26" s="4">
        <v>1169</v>
      </c>
      <c r="B26" s="64" t="s">
        <v>167</v>
      </c>
      <c r="C26" s="72" t="s">
        <v>227</v>
      </c>
      <c r="D26" s="79" t="s">
        <v>143</v>
      </c>
      <c r="E26" s="96" t="s">
        <v>158</v>
      </c>
      <c r="F26" s="4" t="s">
        <v>349</v>
      </c>
      <c r="G26" s="4"/>
      <c r="H26" s="68" t="s">
        <v>339</v>
      </c>
    </row>
    <row r="27" spans="1:8" x14ac:dyDescent="0.3">
      <c r="A27" s="40">
        <v>1327</v>
      </c>
      <c r="B27" s="87" t="s">
        <v>165</v>
      </c>
      <c r="C27" s="94" t="s">
        <v>227</v>
      </c>
      <c r="D27" s="90" t="s">
        <v>356</v>
      </c>
      <c r="E27" s="121" t="s">
        <v>400</v>
      </c>
      <c r="F27" s="51" t="s">
        <v>297</v>
      </c>
      <c r="G27" s="26"/>
      <c r="H27" s="92" t="s">
        <v>340</v>
      </c>
    </row>
    <row r="28" spans="1:8" x14ac:dyDescent="0.3">
      <c r="A28" s="11" t="s">
        <v>81</v>
      </c>
      <c r="B28" s="11">
        <v>26</v>
      </c>
      <c r="C28" s="17"/>
      <c r="D28" s="69"/>
      <c r="E28" s="17"/>
      <c r="F28" s="4"/>
      <c r="G28" s="17"/>
      <c r="H28" s="63"/>
    </row>
    <row r="29" spans="1:8" x14ac:dyDescent="0.3">
      <c r="A29" s="11" t="s">
        <v>342</v>
      </c>
      <c r="B29" s="11">
        <v>24</v>
      </c>
      <c r="C29" s="17"/>
      <c r="D29" s="69"/>
      <c r="E29" s="17"/>
      <c r="F29" s="4"/>
      <c r="G29" s="17"/>
      <c r="H29" s="63"/>
    </row>
    <row r="30" spans="1:8" x14ac:dyDescent="0.3">
      <c r="A30" s="70" t="s">
        <v>343</v>
      </c>
      <c r="B30" s="19">
        <v>22</v>
      </c>
      <c r="C30" s="25">
        <f>B30/B29</f>
        <v>0.91666666666666663</v>
      </c>
    </row>
    <row r="31" spans="1:8" x14ac:dyDescent="0.3">
      <c r="A31" s="70" t="s">
        <v>309</v>
      </c>
      <c r="B31" s="19">
        <v>4</v>
      </c>
      <c r="C31" s="25">
        <f>B31/B30</f>
        <v>0.18181818181818182</v>
      </c>
      <c r="D31" t="s">
        <v>351</v>
      </c>
    </row>
    <row r="32" spans="1:8" x14ac:dyDescent="0.3">
      <c r="A32" s="123" t="s">
        <v>309</v>
      </c>
      <c r="B32" s="12">
        <v>4</v>
      </c>
      <c r="C32" s="122">
        <f>B32/B30</f>
        <v>0.18181818181818182</v>
      </c>
      <c r="D32" s="124" t="s">
        <v>352</v>
      </c>
    </row>
  </sheetData>
  <sortState xmlns:xlrd2="http://schemas.microsoft.com/office/spreadsheetml/2017/richdata2" ref="A2:H27">
    <sortCondition ref="A2:A27"/>
  </sortState>
  <pageMargins left="0.511811024" right="0.511811024" top="0.78740157499999996" bottom="0.78740157499999996" header="0.31496062000000002" footer="0.31496062000000002"/>
  <pageSetup paperSize="9" scale="99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BDA8-9B2D-4BCD-B00B-7EDDD484A4F4}">
  <dimension ref="A1:H27"/>
  <sheetViews>
    <sheetView topLeftCell="A4" workbookViewId="0">
      <selection activeCell="K15" sqref="K15"/>
    </sheetView>
  </sheetViews>
  <sheetFormatPr defaultRowHeight="14.4" x14ac:dyDescent="0.3"/>
  <cols>
    <col min="1" max="1" width="11.6640625" bestFit="1" customWidth="1"/>
    <col min="2" max="2" width="9.109375" customWidth="1"/>
    <col min="3" max="4" width="14.88671875" bestFit="1" customWidth="1"/>
    <col min="5" max="5" width="24.5546875" bestFit="1" customWidth="1"/>
    <col min="6" max="6" width="4.5546875" bestFit="1" customWidth="1"/>
    <col min="7" max="7" width="13.6640625" bestFit="1" customWidth="1"/>
    <col min="8" max="8" width="10.6640625" bestFit="1" customWidth="1"/>
    <col min="9" max="9" width="11" bestFit="1" customWidth="1"/>
  </cols>
  <sheetData>
    <row r="1" spans="1:8" x14ac:dyDescent="0.3">
      <c r="A1" s="34" t="s">
        <v>0</v>
      </c>
      <c r="B1" s="34" t="s">
        <v>432</v>
      </c>
      <c r="C1" s="34" t="s">
        <v>427</v>
      </c>
      <c r="D1" s="35" t="s">
        <v>428</v>
      </c>
      <c r="E1" s="10" t="s">
        <v>429</v>
      </c>
      <c r="F1" s="10"/>
      <c r="G1" s="36" t="s">
        <v>96</v>
      </c>
      <c r="H1" s="35" t="s">
        <v>4</v>
      </c>
    </row>
    <row r="2" spans="1:8" x14ac:dyDescent="0.3">
      <c r="A2" s="137" t="s">
        <v>104</v>
      </c>
      <c r="B2" s="145" t="s">
        <v>276</v>
      </c>
      <c r="C2" s="138" t="s">
        <v>159</v>
      </c>
      <c r="D2" s="139" t="s">
        <v>227</v>
      </c>
      <c r="E2" s="140" t="s">
        <v>414</v>
      </c>
      <c r="F2" s="141"/>
      <c r="G2" s="142" t="s">
        <v>108</v>
      </c>
      <c r="H2" s="143"/>
    </row>
    <row r="3" spans="1:8" x14ac:dyDescent="0.3">
      <c r="A3" s="137" t="s">
        <v>105</v>
      </c>
      <c r="B3" s="145" t="s">
        <v>276</v>
      </c>
      <c r="C3" s="138" t="s">
        <v>160</v>
      </c>
      <c r="D3" s="139" t="s">
        <v>227</v>
      </c>
      <c r="E3" s="140" t="s">
        <v>414</v>
      </c>
      <c r="F3" s="141"/>
      <c r="G3" s="144"/>
      <c r="H3" s="143"/>
    </row>
    <row r="4" spans="1:8" x14ac:dyDescent="0.3">
      <c r="A4" s="112" t="s">
        <v>389</v>
      </c>
      <c r="B4" s="146" t="s">
        <v>276</v>
      </c>
      <c r="C4" s="120" t="s">
        <v>160</v>
      </c>
      <c r="D4" s="128" t="s">
        <v>227</v>
      </c>
      <c r="E4" s="131" t="s">
        <v>312</v>
      </c>
      <c r="F4" s="96"/>
      <c r="G4" s="46" t="s">
        <v>390</v>
      </c>
      <c r="H4" s="113" t="s">
        <v>391</v>
      </c>
    </row>
    <row r="5" spans="1:8" x14ac:dyDescent="0.3">
      <c r="A5" s="147">
        <v>174</v>
      </c>
      <c r="B5" s="147" t="s">
        <v>158</v>
      </c>
      <c r="C5" s="148" t="s">
        <v>160</v>
      </c>
      <c r="D5" s="139" t="s">
        <v>227</v>
      </c>
      <c r="E5" s="140" t="s">
        <v>415</v>
      </c>
      <c r="F5" s="140" t="s">
        <v>416</v>
      </c>
      <c r="G5" s="149" t="s">
        <v>287</v>
      </c>
      <c r="H5" s="143"/>
    </row>
    <row r="6" spans="1:8" x14ac:dyDescent="0.3">
      <c r="A6" s="4">
        <v>191</v>
      </c>
      <c r="B6" s="150" t="s">
        <v>158</v>
      </c>
      <c r="C6" s="118" t="s">
        <v>160</v>
      </c>
      <c r="D6" s="128" t="s">
        <v>227</v>
      </c>
      <c r="E6" s="131" t="s">
        <v>417</v>
      </c>
      <c r="F6" s="131" t="s">
        <v>418</v>
      </c>
      <c r="G6" s="67" t="s">
        <v>325</v>
      </c>
      <c r="H6" s="68" t="s">
        <v>326</v>
      </c>
    </row>
    <row r="7" spans="1:8" x14ac:dyDescent="0.3">
      <c r="A7" s="40" t="s">
        <v>280</v>
      </c>
      <c r="B7" s="40" t="s">
        <v>146</v>
      </c>
      <c r="C7" s="121" t="s">
        <v>159</v>
      </c>
      <c r="D7" s="151" t="s">
        <v>227</v>
      </c>
      <c r="E7" s="152" t="s">
        <v>419</v>
      </c>
      <c r="F7" s="152" t="s">
        <v>420</v>
      </c>
      <c r="G7" s="153" t="s">
        <v>288</v>
      </c>
      <c r="H7" s="92" t="s">
        <v>327</v>
      </c>
    </row>
    <row r="8" spans="1:8" x14ac:dyDescent="0.3">
      <c r="A8" s="40" t="s">
        <v>281</v>
      </c>
      <c r="B8" s="40" t="s">
        <v>146</v>
      </c>
      <c r="C8" s="121" t="s">
        <v>159</v>
      </c>
      <c r="D8" s="151" t="s">
        <v>227</v>
      </c>
      <c r="E8" s="152" t="s">
        <v>421</v>
      </c>
      <c r="F8" s="152" t="s">
        <v>422</v>
      </c>
      <c r="G8" s="153" t="s">
        <v>289</v>
      </c>
      <c r="H8" s="92" t="s">
        <v>328</v>
      </c>
    </row>
    <row r="9" spans="1:8" x14ac:dyDescent="0.3">
      <c r="A9" s="26">
        <v>225</v>
      </c>
      <c r="B9" s="154" t="s">
        <v>146</v>
      </c>
      <c r="C9" s="121" t="s">
        <v>160</v>
      </c>
      <c r="D9" s="151" t="s">
        <v>227</v>
      </c>
      <c r="E9" s="152" t="s">
        <v>417</v>
      </c>
      <c r="F9" s="152" t="s">
        <v>416</v>
      </c>
      <c r="G9" s="91"/>
      <c r="H9" s="92" t="s">
        <v>341</v>
      </c>
    </row>
    <row r="10" spans="1:8" x14ac:dyDescent="0.3">
      <c r="A10" s="39">
        <v>300</v>
      </c>
      <c r="B10" s="39" t="s">
        <v>158</v>
      </c>
      <c r="C10" s="118" t="s">
        <v>160</v>
      </c>
      <c r="D10" s="128" t="s">
        <v>227</v>
      </c>
      <c r="E10" s="131" t="s">
        <v>415</v>
      </c>
      <c r="F10" s="131" t="s">
        <v>423</v>
      </c>
      <c r="G10" s="22" t="s">
        <v>291</v>
      </c>
      <c r="H10" s="68" t="s">
        <v>330</v>
      </c>
    </row>
    <row r="11" spans="1:8" x14ac:dyDescent="0.3">
      <c r="A11" s="39" t="s">
        <v>283</v>
      </c>
      <c r="B11" s="39" t="s">
        <v>431</v>
      </c>
      <c r="C11" s="118" t="s">
        <v>163</v>
      </c>
      <c r="D11" s="128" t="s">
        <v>227</v>
      </c>
      <c r="E11" s="131" t="s">
        <v>424</v>
      </c>
      <c r="F11" s="131" t="s">
        <v>416</v>
      </c>
      <c r="G11" s="22" t="s">
        <v>292</v>
      </c>
      <c r="H11" s="68" t="s">
        <v>331</v>
      </c>
    </row>
    <row r="12" spans="1:8" x14ac:dyDescent="0.3">
      <c r="A12" s="137" t="s">
        <v>90</v>
      </c>
      <c r="B12" s="145" t="s">
        <v>276</v>
      </c>
      <c r="C12" s="138" t="s">
        <v>159</v>
      </c>
      <c r="D12" s="139" t="s">
        <v>227</v>
      </c>
      <c r="E12" s="140" t="s">
        <v>414</v>
      </c>
      <c r="F12" s="141"/>
      <c r="G12" s="144" t="s">
        <v>100</v>
      </c>
      <c r="H12" s="143"/>
    </row>
    <row r="13" spans="1:8" x14ac:dyDescent="0.3">
      <c r="A13" s="40">
        <v>438</v>
      </c>
      <c r="B13" s="40" t="s">
        <v>146</v>
      </c>
      <c r="C13" s="40" t="s">
        <v>159</v>
      </c>
      <c r="D13" s="151" t="s">
        <v>227</v>
      </c>
      <c r="E13" s="152" t="s">
        <v>421</v>
      </c>
      <c r="F13" s="152" t="s">
        <v>420</v>
      </c>
      <c r="G13" s="153" t="s">
        <v>224</v>
      </c>
      <c r="H13" s="92" t="s">
        <v>332</v>
      </c>
    </row>
    <row r="14" spans="1:8" x14ac:dyDescent="0.3">
      <c r="A14" s="6">
        <v>451</v>
      </c>
      <c r="B14" s="146" t="s">
        <v>158</v>
      </c>
      <c r="C14" s="118" t="s">
        <v>160</v>
      </c>
      <c r="D14" s="128" t="s">
        <v>227</v>
      </c>
      <c r="E14" s="131" t="s">
        <v>425</v>
      </c>
      <c r="F14" s="131" t="s">
        <v>423</v>
      </c>
      <c r="G14" s="4" t="s">
        <v>293</v>
      </c>
      <c r="H14" s="68" t="s">
        <v>333</v>
      </c>
    </row>
    <row r="15" spans="1:8" x14ac:dyDescent="0.3">
      <c r="A15" s="120" t="s">
        <v>401</v>
      </c>
      <c r="B15" s="146" t="s">
        <v>158</v>
      </c>
      <c r="C15" s="118" t="s">
        <v>159</v>
      </c>
      <c r="D15" s="128" t="s">
        <v>227</v>
      </c>
      <c r="E15" s="131" t="s">
        <v>419</v>
      </c>
      <c r="F15" s="131" t="s">
        <v>423</v>
      </c>
      <c r="G15" s="4"/>
      <c r="H15" s="125" t="s">
        <v>409</v>
      </c>
    </row>
    <row r="16" spans="1:8" x14ac:dyDescent="0.3">
      <c r="A16" s="137" t="s">
        <v>284</v>
      </c>
      <c r="B16" s="145" t="s">
        <v>276</v>
      </c>
      <c r="C16" s="148" t="s">
        <v>159</v>
      </c>
      <c r="D16" s="139" t="s">
        <v>227</v>
      </c>
      <c r="E16" s="156" t="s">
        <v>414</v>
      </c>
      <c r="F16" s="141"/>
      <c r="G16" s="142" t="s">
        <v>294</v>
      </c>
      <c r="H16" s="155" t="s">
        <v>334</v>
      </c>
    </row>
    <row r="17" spans="1:8" x14ac:dyDescent="0.3">
      <c r="A17" s="6">
        <v>622</v>
      </c>
      <c r="B17" s="146" t="s">
        <v>158</v>
      </c>
      <c r="C17" s="120" t="s">
        <v>159</v>
      </c>
      <c r="D17" s="128" t="s">
        <v>227</v>
      </c>
      <c r="E17" s="131" t="s">
        <v>415</v>
      </c>
      <c r="F17" s="131" t="s">
        <v>416</v>
      </c>
      <c r="G17" s="46" t="s">
        <v>225</v>
      </c>
      <c r="H17" s="68" t="s">
        <v>335</v>
      </c>
    </row>
    <row r="18" spans="1:8" x14ac:dyDescent="0.3">
      <c r="A18" s="26">
        <v>734</v>
      </c>
      <c r="B18" s="154" t="s">
        <v>146</v>
      </c>
      <c r="C18" s="121" t="s">
        <v>159</v>
      </c>
      <c r="D18" s="151" t="s">
        <v>227</v>
      </c>
      <c r="E18" s="152" t="s">
        <v>415</v>
      </c>
      <c r="F18" s="152" t="s">
        <v>423</v>
      </c>
      <c r="G18" s="51" t="s">
        <v>298</v>
      </c>
      <c r="H18" s="50"/>
    </row>
    <row r="19" spans="1:8" x14ac:dyDescent="0.3">
      <c r="A19" s="4">
        <v>737</v>
      </c>
      <c r="B19" s="150" t="s">
        <v>158</v>
      </c>
      <c r="C19" s="118" t="s">
        <v>160</v>
      </c>
      <c r="D19" s="128" t="s">
        <v>227</v>
      </c>
      <c r="E19" s="131" t="s">
        <v>425</v>
      </c>
      <c r="F19" s="131" t="s">
        <v>422</v>
      </c>
      <c r="G19" s="22"/>
      <c r="H19" s="125" t="s">
        <v>410</v>
      </c>
    </row>
    <row r="20" spans="1:8" x14ac:dyDescent="0.3">
      <c r="A20" s="26">
        <v>766</v>
      </c>
      <c r="B20" s="154" t="s">
        <v>146</v>
      </c>
      <c r="C20" s="121" t="s">
        <v>159</v>
      </c>
      <c r="D20" s="151" t="s">
        <v>227</v>
      </c>
      <c r="E20" s="152" t="s">
        <v>421</v>
      </c>
      <c r="F20" s="152" t="s">
        <v>420</v>
      </c>
      <c r="G20" s="51" t="s">
        <v>101</v>
      </c>
      <c r="H20" s="50"/>
    </row>
    <row r="21" spans="1:8" x14ac:dyDescent="0.3">
      <c r="A21" s="142">
        <v>1007</v>
      </c>
      <c r="B21" s="156" t="s">
        <v>158</v>
      </c>
      <c r="C21" s="148" t="s">
        <v>163</v>
      </c>
      <c r="D21" s="139" t="s">
        <v>227</v>
      </c>
      <c r="E21" s="140" t="s">
        <v>417</v>
      </c>
      <c r="F21" s="140" t="s">
        <v>422</v>
      </c>
      <c r="G21" s="157" t="s">
        <v>299</v>
      </c>
      <c r="H21" s="143"/>
    </row>
    <row r="22" spans="1:8" x14ac:dyDescent="0.3">
      <c r="A22" s="26">
        <v>1123</v>
      </c>
      <c r="B22" s="154" t="s">
        <v>146</v>
      </c>
      <c r="C22" s="121" t="s">
        <v>159</v>
      </c>
      <c r="D22" s="151" t="s">
        <v>227</v>
      </c>
      <c r="E22" s="152" t="s">
        <v>415</v>
      </c>
      <c r="F22" s="152" t="s">
        <v>416</v>
      </c>
      <c r="G22" s="153" t="s">
        <v>102</v>
      </c>
      <c r="H22" s="50"/>
    </row>
    <row r="23" spans="1:8" x14ac:dyDescent="0.3">
      <c r="A23" s="4">
        <v>1129</v>
      </c>
      <c r="B23" s="150" t="s">
        <v>276</v>
      </c>
      <c r="C23" s="118" t="s">
        <v>159</v>
      </c>
      <c r="D23" s="128" t="s">
        <v>227</v>
      </c>
      <c r="E23" s="131" t="s">
        <v>414</v>
      </c>
      <c r="F23" s="96"/>
      <c r="G23" s="22" t="s">
        <v>300</v>
      </c>
      <c r="H23" s="44"/>
    </row>
    <row r="24" spans="1:8" x14ac:dyDescent="0.3">
      <c r="A24" s="4">
        <v>1169</v>
      </c>
      <c r="B24" s="150" t="s">
        <v>276</v>
      </c>
      <c r="C24" s="118" t="s">
        <v>159</v>
      </c>
      <c r="D24" s="128" t="s">
        <v>227</v>
      </c>
      <c r="E24" s="131" t="s">
        <v>312</v>
      </c>
      <c r="F24" s="96"/>
      <c r="G24" s="4" t="s">
        <v>349</v>
      </c>
      <c r="H24" s="68" t="s">
        <v>339</v>
      </c>
    </row>
    <row r="25" spans="1:8" x14ac:dyDescent="0.3">
      <c r="A25" s="11" t="s">
        <v>81</v>
      </c>
      <c r="B25" s="11"/>
      <c r="C25" s="11">
        <v>23</v>
      </c>
      <c r="D25" s="17"/>
      <c r="E25" s="69"/>
      <c r="F25" s="17"/>
      <c r="G25" s="4"/>
      <c r="H25" s="63"/>
    </row>
    <row r="26" spans="1:8" x14ac:dyDescent="0.3">
      <c r="A26" s="19" t="s">
        <v>426</v>
      </c>
      <c r="B26" s="19"/>
      <c r="C26" s="19">
        <v>16</v>
      </c>
      <c r="D26" s="132">
        <f>C26/C25</f>
        <v>0.69565217391304346</v>
      </c>
    </row>
    <row r="27" spans="1:8" x14ac:dyDescent="0.3">
      <c r="A27" s="19" t="s">
        <v>146</v>
      </c>
      <c r="B27" s="19"/>
      <c r="C27" s="19">
        <v>7</v>
      </c>
      <c r="D27" s="54">
        <f>C27/C26</f>
        <v>0.4375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61C8-97EF-4D8D-B98B-46822DB2D7CF}">
  <dimension ref="A1:I20"/>
  <sheetViews>
    <sheetView workbookViewId="0">
      <selection activeCell="B15" sqref="B15"/>
    </sheetView>
  </sheetViews>
  <sheetFormatPr defaultRowHeight="14.4" x14ac:dyDescent="0.3"/>
  <cols>
    <col min="2" max="2" width="13.33203125" customWidth="1"/>
    <col min="3" max="3" width="24.109375" customWidth="1"/>
    <col min="4" max="4" width="11.6640625" customWidth="1"/>
    <col min="5" max="5" width="13.21875" customWidth="1"/>
    <col min="6" max="6" width="19.21875" bestFit="1" customWidth="1"/>
    <col min="7" max="7" width="9.88671875" bestFit="1" customWidth="1"/>
  </cols>
  <sheetData>
    <row r="1" spans="1:9" s="21" customFormat="1" ht="13.8" x14ac:dyDescent="0.25">
      <c r="A1" s="34" t="s">
        <v>0</v>
      </c>
      <c r="B1" s="35" t="s">
        <v>94</v>
      </c>
      <c r="C1" s="10" t="s">
        <v>95</v>
      </c>
      <c r="D1" s="10" t="s">
        <v>3</v>
      </c>
      <c r="E1" s="36" t="s">
        <v>96</v>
      </c>
      <c r="F1" s="30" t="s">
        <v>97</v>
      </c>
      <c r="G1" s="10" t="s">
        <v>98</v>
      </c>
      <c r="H1" s="10" t="s">
        <v>0</v>
      </c>
      <c r="I1" s="10" t="s">
        <v>99</v>
      </c>
    </row>
    <row r="2" spans="1:9" s="21" customFormat="1" ht="13.8" x14ac:dyDescent="0.25">
      <c r="A2" s="37" t="s">
        <v>104</v>
      </c>
      <c r="B2" s="38">
        <v>45974</v>
      </c>
      <c r="C2" s="9" t="s">
        <v>141</v>
      </c>
      <c r="D2" s="9" t="s">
        <v>158</v>
      </c>
      <c r="E2" s="4" t="s">
        <v>108</v>
      </c>
      <c r="F2" s="4"/>
      <c r="G2" s="9"/>
      <c r="H2" s="9"/>
      <c r="I2" s="9"/>
    </row>
    <row r="3" spans="1:9" s="21" customFormat="1" ht="13.8" x14ac:dyDescent="0.25">
      <c r="A3" s="39" t="s">
        <v>105</v>
      </c>
      <c r="B3" s="38">
        <v>45974</v>
      </c>
      <c r="C3" s="4" t="s">
        <v>139</v>
      </c>
      <c r="D3" s="4" t="s">
        <v>158</v>
      </c>
      <c r="E3" s="22"/>
      <c r="F3" s="38"/>
      <c r="G3" s="9"/>
      <c r="H3" s="9"/>
      <c r="I3" s="9"/>
    </row>
    <row r="4" spans="1:9" s="21" customFormat="1" ht="13.8" x14ac:dyDescent="0.25">
      <c r="A4" s="40" t="s">
        <v>107</v>
      </c>
      <c r="B4" s="50">
        <v>45974</v>
      </c>
      <c r="C4" s="26" t="s">
        <v>140</v>
      </c>
      <c r="D4" s="26" t="s">
        <v>146</v>
      </c>
      <c r="E4" s="51" t="s">
        <v>226</v>
      </c>
      <c r="F4" s="38"/>
      <c r="G4" s="9"/>
      <c r="H4" s="9"/>
      <c r="I4" s="9"/>
    </row>
    <row r="5" spans="1:9" s="21" customFormat="1" ht="13.8" x14ac:dyDescent="0.25">
      <c r="A5" s="39" t="s">
        <v>90</v>
      </c>
      <c r="B5" s="38">
        <v>45974</v>
      </c>
      <c r="C5" s="4" t="s">
        <v>141</v>
      </c>
      <c r="D5" s="4" t="s">
        <v>158</v>
      </c>
      <c r="E5" s="22" t="s">
        <v>100</v>
      </c>
      <c r="F5" s="38"/>
      <c r="G5" s="9"/>
      <c r="H5" s="9"/>
      <c r="I5" s="9"/>
    </row>
    <row r="6" spans="1:9" s="21" customFormat="1" ht="13.8" x14ac:dyDescent="0.25">
      <c r="A6" s="40" t="s">
        <v>91</v>
      </c>
      <c r="B6" s="50">
        <v>45974</v>
      </c>
      <c r="C6" s="26" t="s">
        <v>142</v>
      </c>
      <c r="D6" s="26" t="s">
        <v>146</v>
      </c>
      <c r="E6" s="51" t="s">
        <v>101</v>
      </c>
      <c r="F6" s="50" t="s">
        <v>304</v>
      </c>
      <c r="G6" s="4"/>
      <c r="H6" s="9"/>
      <c r="I6" s="9"/>
    </row>
    <row r="7" spans="1:9" s="21" customFormat="1" ht="13.8" x14ac:dyDescent="0.25">
      <c r="A7" s="40" t="s">
        <v>106</v>
      </c>
      <c r="B7" s="50">
        <v>45974</v>
      </c>
      <c r="C7" s="26" t="s">
        <v>140</v>
      </c>
      <c r="D7" s="26" t="s">
        <v>146</v>
      </c>
      <c r="E7" s="51" t="s">
        <v>109</v>
      </c>
      <c r="F7" s="38"/>
      <c r="G7" s="4"/>
      <c r="H7" s="9"/>
      <c r="I7" s="9"/>
    </row>
    <row r="8" spans="1:9" s="21" customFormat="1" ht="13.8" x14ac:dyDescent="0.25">
      <c r="A8" s="40" t="s">
        <v>92</v>
      </c>
      <c r="B8" s="50">
        <v>45974</v>
      </c>
      <c r="C8" s="26" t="s">
        <v>139</v>
      </c>
      <c r="D8" s="26" t="s">
        <v>146</v>
      </c>
      <c r="E8" s="51" t="s">
        <v>102</v>
      </c>
      <c r="F8" s="50" t="s">
        <v>304</v>
      </c>
      <c r="G8" s="4"/>
      <c r="H8" s="9"/>
      <c r="I8" s="9"/>
    </row>
    <row r="9" spans="1:9" s="21" customFormat="1" ht="13.8" x14ac:dyDescent="0.25">
      <c r="A9" s="40" t="s">
        <v>93</v>
      </c>
      <c r="B9" s="50">
        <v>45974</v>
      </c>
      <c r="C9" s="26" t="s">
        <v>143</v>
      </c>
      <c r="D9" s="26" t="s">
        <v>146</v>
      </c>
      <c r="E9" s="51" t="s">
        <v>103</v>
      </c>
      <c r="F9" s="38"/>
      <c r="G9" s="4"/>
      <c r="H9" s="9"/>
      <c r="I9" s="9"/>
    </row>
    <row r="10" spans="1:9" s="21" customFormat="1" ht="13.8" x14ac:dyDescent="0.25"/>
    <row r="11" spans="1:9" s="21" customFormat="1" ht="13.8" x14ac:dyDescent="0.25">
      <c r="A11" s="30" t="s">
        <v>81</v>
      </c>
      <c r="B11" s="30">
        <v>14</v>
      </c>
      <c r="C11" s="4"/>
    </row>
    <row r="12" spans="1:9" s="21" customFormat="1" ht="13.8" x14ac:dyDescent="0.25">
      <c r="A12" s="9" t="s">
        <v>144</v>
      </c>
      <c r="B12" s="10">
        <v>8</v>
      </c>
      <c r="C12" s="9"/>
    </row>
    <row r="13" spans="1:9" s="21" customFormat="1" ht="13.8" x14ac:dyDescent="0.25">
      <c r="A13" s="41" t="s">
        <v>145</v>
      </c>
      <c r="B13" s="42">
        <f>B12/B11</f>
        <v>0.5714285714285714</v>
      </c>
    </row>
    <row r="14" spans="1:9" s="21" customFormat="1" ht="13.8" x14ac:dyDescent="0.25">
      <c r="A14" s="9" t="s">
        <v>146</v>
      </c>
      <c r="B14" s="9">
        <v>5</v>
      </c>
    </row>
    <row r="15" spans="1:9" s="21" customFormat="1" ht="13.8" x14ac:dyDescent="0.25">
      <c r="A15" s="9" t="s">
        <v>147</v>
      </c>
      <c r="B15" s="42">
        <f>B14/B12</f>
        <v>0.625</v>
      </c>
      <c r="C15" s="74" t="s">
        <v>351</v>
      </c>
    </row>
    <row r="16" spans="1:9" s="77" customFormat="1" ht="13.8" x14ac:dyDescent="0.25">
      <c r="A16" s="75" t="s">
        <v>147</v>
      </c>
      <c r="B16" s="78">
        <f>3/8</f>
        <v>0.375</v>
      </c>
      <c r="C16" s="76" t="s">
        <v>352</v>
      </c>
    </row>
    <row r="20" spans="5:5" x14ac:dyDescent="0.3">
      <c r="E20" t="s">
        <v>375</v>
      </c>
    </row>
  </sheetData>
  <pageMargins left="0.511811024" right="0.511811024" top="0.78740157499999996" bottom="0.78740157499999996" header="0.31496062000000002" footer="0.31496062000000002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1º IATF</vt:lpstr>
      <vt:lpstr>2º IATF</vt:lpstr>
      <vt:lpstr>3º IATF</vt:lpstr>
      <vt:lpstr>4º IATF</vt:lpstr>
      <vt:lpstr>5º IATF</vt:lpstr>
      <vt:lpstr>6º IATF</vt:lpstr>
      <vt:lpstr>2º TETF DT</vt:lpstr>
      <vt:lpstr>3º TETF FRESCO</vt:lpstr>
      <vt:lpstr>1º TETF FRESCO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 Carvalho</dc:creator>
  <cp:lastModifiedBy>Harley Carvalho</cp:lastModifiedBy>
  <cp:lastPrinted>2026-05-12T21:56:36Z</cp:lastPrinted>
  <dcterms:created xsi:type="dcterms:W3CDTF">2025-09-15T22:25:41Z</dcterms:created>
  <dcterms:modified xsi:type="dcterms:W3CDTF">2026-06-18T18:06:06Z</dcterms:modified>
</cp:coreProperties>
</file>